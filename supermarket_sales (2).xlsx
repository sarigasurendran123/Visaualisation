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079C10730EF2889F/Documents/"/>
    </mc:Choice>
  </mc:AlternateContent>
  <xr:revisionPtr revIDLastSave="0" documentId="8_{A991F239-10D4-4B7B-9E62-56B261C8ECC6}" xr6:coauthVersionLast="47" xr6:coauthVersionMax="47" xr10:uidLastSave="{00000000-0000-0000-0000-000000000000}"/>
  <bookViews>
    <workbookView xWindow="-108" yWindow="-108" windowWidth="23256" windowHeight="12456" activeTab="2" xr2:uid="{94845E03-BAAF-4948-9A86-BA914E1EFF67}"/>
  </bookViews>
  <sheets>
    <sheet name="Sheet1" sheetId="2" r:id="rId1"/>
    <sheet name="supermarket_sales" sheetId="1" r:id="rId2"/>
    <sheet name="dashboard" sheetId="4" r:id="rId3"/>
  </sheets>
  <definedNames>
    <definedName name="NativeTimeline_Date">#N/A</definedName>
    <definedName name="Slicer_Branch">#N/A</definedName>
    <definedName name="Slicer_City">#N/A</definedName>
    <definedName name="Slicer_Gender">#N/A</definedName>
    <definedName name="Slicer_Pay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2" l="1"/>
  <c r="J13" i="2"/>
  <c r="E16" i="2"/>
  <c r="I13" i="2"/>
</calcChain>
</file>

<file path=xl/sharedStrings.xml><?xml version="1.0" encoding="utf-8"?>
<sst xmlns="http://schemas.openxmlformats.org/spreadsheetml/2006/main" count="7060" uniqueCount="1048">
  <si>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</si>
  <si>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</si>
  <si>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</si>
  <si>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</si>
  <si>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</si>
  <si>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</si>
  <si>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</si>
  <si>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</si>
  <si>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</si>
  <si>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</si>
  <si>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</si>
  <si>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</si>
  <si>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</si>
  <si>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</si>
  <si>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</si>
  <si>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</si>
  <si>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</si>
  <si>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</si>
  <si>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</si>
  <si>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</si>
  <si>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</si>
  <si>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</si>
  <si>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</si>
  <si>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</si>
  <si>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</si>
  <si>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</si>
  <si>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</si>
  <si>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</si>
  <si>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</si>
  <si>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</si>
  <si>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</si>
  <si>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</si>
  <si>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</si>
  <si>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</si>
  <si>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</si>
  <si>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</si>
  <si>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</si>
  <si>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</si>
  <si>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</si>
  <si>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</si>
  <si>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</si>
  <si>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</si>
  <si>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</si>
  <si>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</si>
  <si>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</si>
  <si>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</si>
  <si>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</si>
  <si>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</si>
  <si>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</si>
  <si>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</si>
  <si>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</si>
  <si>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</si>
  <si>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</si>
  <si>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</si>
  <si>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</si>
  <si>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</si>
  <si>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</si>
  <si>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</si>
  <si>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</si>
  <si>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</si>
  <si>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</si>
  <si>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</si>
  <si>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</si>
  <si>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</si>
  <si>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</si>
  <si>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</si>
  <si>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</si>
  <si>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</si>
  <si>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</si>
  <si>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</si>
  <si>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</si>
  <si>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</si>
  <si>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</si>
  <si>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</si>
  <si>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</si>
  <si>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</si>
  <si>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</si>
  <si>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</si>
  <si>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</si>
  <si>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</si>
  <si>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</si>
  <si>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</si>
  <si>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</si>
  <si>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</si>
  <si>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</si>
  <si>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</si>
  <si>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</si>
  <si>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</si>
  <si>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</si>
  <si>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</si>
  <si>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</si>
  <si>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</si>
  <si>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</si>
  <si>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</si>
  <si>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</si>
  <si>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</si>
  <si>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</si>
  <si>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</si>
  <si>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</si>
  <si>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</si>
  <si>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</si>
  <si>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</si>
  <si>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</si>
  <si>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</si>
  <si>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</si>
  <si>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</si>
  <si>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</si>
  <si>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</si>
  <si>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</si>
  <si>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</si>
  <si>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</si>
  <si>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</si>
  <si>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</si>
  <si>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</si>
  <si>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</si>
  <si>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</si>
  <si>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</si>
  <si>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</si>
  <si>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</si>
  <si>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</si>
  <si>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</si>
  <si>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</si>
  <si>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</si>
  <si>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</si>
  <si>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</si>
  <si>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</si>
  <si>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</si>
  <si>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</si>
  <si>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</si>
  <si>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</si>
  <si>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</si>
  <si>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</si>
  <si>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</si>
  <si>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</si>
  <si>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</si>
  <si>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</si>
  <si>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</si>
  <si>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</si>
  <si>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</si>
  <si>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</si>
  <si>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</si>
  <si>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</si>
  <si>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</si>
  <si>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</si>
  <si>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</si>
  <si>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</si>
  <si>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</si>
  <si>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</si>
  <si>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</si>
  <si>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</si>
  <si>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</si>
  <si>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</si>
  <si>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</si>
  <si>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</si>
  <si>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</si>
  <si>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</si>
  <si>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</si>
  <si>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</si>
  <si>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</si>
  <si>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</si>
  <si>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</si>
  <si>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</si>
  <si>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</si>
  <si>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</si>
  <si>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</si>
  <si>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</si>
  <si>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</si>
  <si>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</si>
  <si>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</si>
  <si>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</si>
  <si>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</si>
  <si>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</si>
  <si>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</si>
  <si>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</si>
  <si>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</si>
  <si>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</si>
  <si>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</si>
  <si>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</si>
  <si>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</si>
  <si>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</si>
  <si>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</si>
  <si>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</si>
  <si>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</si>
  <si>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</si>
  <si>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</si>
  <si>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</si>
  <si>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</si>
  <si>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</si>
  <si>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</si>
  <si>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</si>
  <si>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</si>
  <si>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</si>
  <si>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</si>
  <si>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</si>
  <si>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</si>
  <si>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</si>
  <si>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</si>
  <si>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</si>
  <si>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</si>
  <si>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</si>
  <si>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</si>
  <si>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</si>
  <si>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</si>
  <si>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</si>
  <si>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</si>
  <si>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</si>
  <si>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</si>
  <si>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</si>
  <si>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</si>
  <si>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</si>
  <si>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</si>
  <si>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</si>
  <si>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</si>
  <si>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</si>
  <si>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</si>
  <si>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</si>
  <si>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</si>
  <si>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</si>
  <si>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</si>
  <si>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</si>
  <si>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</si>
  <si>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</si>
  <si>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</si>
  <si>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</si>
  <si>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</si>
  <si>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</si>
  <si>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</si>
  <si>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</si>
  <si>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</si>
  <si>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</si>
  <si>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</si>
  <si>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</si>
  <si>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</si>
  <si>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</si>
  <si>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</si>
  <si>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</si>
  <si>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</si>
  <si>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</si>
  <si>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</si>
  <si>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</si>
  <si>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</si>
  <si>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</si>
  <si>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</si>
  <si>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</si>
  <si>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</si>
  <si>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</si>
  <si>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</si>
  <si>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</si>
  <si>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</si>
  <si>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</si>
  <si>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</si>
  <si>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</si>
  <si>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</si>
  <si>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</si>
  <si>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</si>
  <si>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</si>
  <si>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</si>
  <si>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</si>
  <si>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</si>
  <si>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</si>
  <si>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</si>
  <si>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</si>
  <si>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</si>
  <si>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</si>
  <si>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</si>
  <si>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</si>
  <si>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</si>
  <si>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</si>
  <si>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</si>
  <si>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</si>
  <si>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</si>
  <si>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</si>
  <si>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</si>
  <si>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</si>
  <si>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</si>
  <si>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</si>
  <si>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</si>
  <si>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</si>
  <si>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</si>
  <si>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</si>
  <si>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</si>
  <si>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</si>
  <si>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</si>
  <si>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</si>
  <si>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</si>
  <si>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</si>
  <si>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</si>
  <si>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</si>
  <si>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</si>
  <si>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</si>
  <si>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</si>
  <si>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</si>
  <si>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</si>
  <si>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</si>
  <si>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</si>
  <si>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</si>
  <si>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</si>
  <si>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</si>
  <si>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</si>
  <si>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</si>
  <si>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</si>
  <si>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</si>
  <si>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</si>
  <si>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</si>
  <si>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</si>
  <si>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</si>
  <si>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</si>
  <si>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</si>
  <si>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</si>
  <si>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</si>
  <si>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</si>
  <si>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</si>
  <si>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</si>
  <si>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</si>
  <si>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</si>
  <si>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</si>
  <si>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</si>
  <si>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</si>
  <si>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</si>
  <si>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</si>
  <si>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</si>
  <si>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</si>
  <si>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</si>
  <si>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</si>
  <si>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</si>
  <si>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</si>
  <si>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</si>
  <si>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</si>
  <si>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</si>
  <si>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</si>
  <si>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</si>
  <si>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</si>
  <si>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</si>
  <si>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</si>
  <si>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</si>
  <si>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</si>
  <si>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</si>
  <si>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</si>
  <si>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</si>
  <si>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</si>
  <si>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</si>
  <si>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</si>
  <si>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</si>
  <si>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</si>
  <si>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</si>
  <si>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</si>
  <si>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</si>
  <si>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</si>
  <si>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</si>
  <si>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</si>
  <si>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</si>
  <si>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</si>
  <si>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</si>
  <si>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</si>
  <si>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</si>
  <si>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</si>
  <si>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</si>
  <si>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</si>
  <si>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</si>
  <si>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</si>
  <si>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</si>
  <si>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</si>
  <si>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</si>
  <si>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</si>
  <si>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</si>
  <si>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</si>
  <si>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</si>
  <si>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</si>
  <si>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</si>
  <si>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</si>
  <si>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</si>
  <si>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</si>
  <si>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</si>
  <si>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</si>
  <si>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</si>
  <si>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</si>
  <si>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</si>
  <si>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</si>
  <si>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</si>
  <si>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</si>
  <si>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</si>
  <si>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</si>
  <si>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</si>
  <si>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</si>
  <si>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</si>
  <si>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</si>
  <si>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</si>
  <si>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</si>
  <si>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</si>
  <si>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</si>
  <si>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</si>
  <si>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</si>
  <si>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</si>
  <si>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</si>
  <si>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</si>
  <si>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</si>
  <si>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</si>
  <si>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</si>
  <si>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</si>
  <si>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</si>
  <si>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</si>
  <si>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</si>
  <si>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</si>
  <si>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</si>
  <si>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</si>
  <si>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</si>
  <si>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</si>
  <si>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</si>
  <si>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</si>
  <si>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</si>
  <si>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</si>
  <si>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</si>
  <si>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</si>
  <si>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</si>
  <si>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</si>
  <si>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</si>
  <si>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</si>
  <si>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</si>
  <si>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</si>
  <si>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</si>
  <si>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</si>
  <si>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</si>
  <si>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</si>
  <si>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</si>
  <si>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</si>
  <si>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</si>
  <si>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</si>
  <si>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</si>
  <si>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</si>
  <si>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</si>
  <si>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</si>
  <si>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</si>
  <si>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</si>
  <si>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</si>
  <si>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</si>
  <si>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</si>
  <si>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</si>
  <si>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</si>
  <si>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</si>
  <si>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</si>
  <si>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</si>
  <si>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</si>
  <si>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</si>
  <si>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</si>
  <si>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</si>
  <si>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</si>
  <si>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</si>
  <si>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</si>
  <si>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</si>
  <si>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</si>
  <si>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</si>
  <si>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</si>
  <si>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</si>
  <si>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</si>
  <si>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</si>
  <si>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</si>
  <si>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</si>
  <si>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</si>
  <si>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</si>
  <si>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</si>
  <si>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</si>
  <si>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</si>
  <si>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</si>
  <si>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</si>
  <si>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</si>
  <si>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</si>
  <si>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</si>
  <si>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</si>
  <si>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</si>
  <si>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</si>
  <si>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</si>
  <si>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</si>
  <si>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</si>
  <si>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</si>
  <si>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</si>
  <si>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</si>
  <si>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</si>
  <si>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</si>
  <si>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</si>
  <si>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</si>
  <si>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</si>
  <si>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</si>
  <si>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</si>
  <si>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</si>
  <si>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</si>
  <si>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</si>
  <si>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</si>
  <si>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</si>
  <si>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</si>
  <si>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</si>
  <si>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</si>
  <si>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</si>
  <si>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</si>
  <si>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</si>
  <si>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</si>
  <si>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</si>
  <si>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</si>
  <si>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</si>
  <si>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</si>
  <si>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</si>
  <si>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</si>
  <si>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</si>
  <si>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</si>
  <si>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</si>
  <si>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</si>
  <si>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</si>
  <si>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</si>
  <si>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</si>
  <si>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</si>
  <si>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</si>
  <si>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</si>
  <si>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</si>
  <si>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</si>
  <si>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</si>
  <si>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</si>
  <si>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</si>
  <si>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</si>
  <si>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</si>
  <si>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</si>
  <si>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</si>
  <si>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</si>
  <si>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</si>
  <si>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</si>
  <si>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</si>
  <si>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</si>
  <si>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</si>
  <si>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</si>
  <si>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</si>
  <si>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</si>
  <si>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</si>
  <si>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</si>
  <si>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</si>
  <si>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</si>
  <si>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</si>
  <si>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</si>
  <si>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</si>
  <si>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</si>
  <si>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</si>
  <si>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</si>
  <si>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</si>
  <si>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</si>
  <si>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</si>
  <si>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</si>
  <si>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</si>
  <si>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</si>
  <si>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</si>
  <si>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</si>
  <si>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</si>
  <si>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</si>
  <si>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</si>
  <si>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</si>
  <si>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</si>
  <si>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</si>
  <si>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</si>
  <si>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</si>
  <si>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</si>
  <si>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</si>
  <si>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</si>
  <si>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</si>
  <si>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</si>
  <si>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</si>
  <si>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</si>
  <si>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</si>
  <si>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</si>
  <si>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</si>
  <si>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</si>
  <si>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</si>
  <si>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</si>
  <si>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</si>
  <si>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</si>
  <si>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</si>
  <si>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</si>
  <si>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</si>
  <si>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</si>
  <si>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</si>
  <si>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</si>
  <si>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</si>
  <si>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</si>
  <si>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</si>
  <si>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</si>
  <si>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</si>
  <si>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</si>
  <si>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</si>
  <si>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</si>
  <si>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</si>
  <si>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</si>
  <si>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</si>
  <si>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</si>
  <si>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</si>
  <si>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</si>
  <si>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</si>
  <si>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</si>
  <si>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</si>
  <si>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</si>
  <si>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</si>
  <si>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</si>
  <si>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</si>
  <si>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</si>
  <si>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</si>
  <si>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</si>
  <si>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</si>
  <si>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</si>
  <si>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</si>
  <si>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</si>
  <si>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</si>
  <si>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</si>
  <si>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</si>
  <si>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</si>
  <si>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</si>
  <si>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</si>
  <si>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</si>
  <si>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</si>
  <si>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</si>
  <si>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</si>
  <si>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</si>
  <si>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</si>
  <si>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</si>
  <si>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</si>
  <si>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</si>
  <si>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</si>
  <si>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</si>
  <si>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</si>
  <si>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</si>
  <si>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</si>
  <si>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</si>
  <si>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</si>
  <si>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</si>
  <si>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</si>
  <si>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</si>
  <si>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</si>
  <si>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</si>
  <si>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</si>
  <si>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</si>
  <si>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</si>
  <si>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</si>
  <si>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</si>
  <si>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</si>
  <si>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</si>
  <si>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</si>
  <si>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</si>
  <si>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</si>
  <si>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</si>
  <si>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</si>
  <si>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</si>
  <si>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</si>
  <si>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</si>
  <si>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</si>
  <si>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</si>
  <si>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</si>
  <si>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</si>
  <si>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</si>
  <si>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</si>
  <si>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</si>
  <si>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</si>
  <si>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</si>
  <si>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</si>
  <si>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</si>
  <si>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</si>
  <si>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</si>
  <si>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</si>
  <si>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</si>
  <si>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</si>
  <si>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</si>
  <si>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</si>
  <si>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</si>
  <si>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</si>
  <si>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</si>
  <si>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</si>
  <si>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</si>
  <si>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</si>
  <si>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</si>
  <si>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</si>
  <si>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</si>
  <si>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</si>
  <si>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</si>
  <si>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</si>
  <si>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</si>
  <si>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</si>
  <si>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</si>
  <si>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</si>
  <si>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</si>
  <si>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</si>
  <si>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</si>
  <si>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</si>
  <si>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</si>
  <si>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</si>
  <si>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</si>
  <si>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</si>
  <si>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</si>
  <si>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</si>
  <si>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</si>
  <si>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</si>
  <si>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</si>
  <si>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</si>
  <si>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</si>
  <si>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</si>
  <si>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</si>
  <si>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</si>
  <si>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</si>
  <si>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</si>
  <si>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</si>
  <si>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</si>
  <si>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</si>
  <si>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</si>
  <si>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</si>
  <si>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</si>
  <si>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</si>
  <si>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</si>
  <si>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</si>
  <si>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</si>
  <si>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</si>
  <si>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</si>
  <si>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</si>
  <si>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</si>
  <si>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</si>
  <si>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</si>
  <si>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</si>
  <si>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</si>
  <si>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</si>
  <si>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</si>
  <si>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</si>
  <si>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</si>
  <si>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</si>
  <si>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</si>
  <si>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</si>
  <si>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</si>
  <si>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</si>
  <si>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</si>
  <si>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</si>
  <si>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</si>
  <si>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</si>
  <si>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</si>
  <si>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</si>
  <si>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</si>
  <si>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</si>
  <si>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</si>
  <si>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</si>
  <si>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</si>
  <si>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</si>
  <si>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</si>
  <si>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</si>
  <si>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</si>
  <si>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</si>
  <si>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</si>
  <si>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</si>
  <si>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</si>
  <si>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</si>
  <si>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</si>
  <si>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</si>
  <si>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</si>
  <si>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</si>
  <si>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</si>
  <si>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</si>
  <si>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</si>
  <si>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</si>
  <si>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</si>
  <si>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</si>
  <si>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</si>
  <si>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</si>
  <si>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</si>
  <si>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</si>
  <si>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</si>
  <si>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</si>
  <si>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</si>
  <si>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</si>
  <si>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</si>
  <si>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</si>
  <si>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</si>
  <si>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</si>
  <si>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</si>
  <si>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</si>
  <si>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</si>
  <si>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</si>
  <si>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</si>
  <si>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</si>
  <si>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</si>
  <si>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</si>
  <si>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</si>
  <si>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</si>
  <si>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</si>
  <si>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</si>
  <si>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</si>
  <si>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</si>
  <si>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</si>
  <si>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</si>
  <si>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</si>
  <si>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</si>
  <si>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</si>
  <si>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</si>
  <si>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</si>
  <si>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</si>
  <si>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</si>
  <si>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</si>
  <si>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</si>
  <si>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</si>
  <si>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</si>
  <si>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</si>
  <si>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</si>
  <si>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</si>
  <si>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</si>
  <si>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</si>
  <si>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</si>
  <si>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</si>
  <si>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</si>
  <si>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</si>
  <si>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</si>
  <si>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</si>
  <si>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</si>
  <si>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</si>
  <si>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</si>
  <si>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</si>
  <si>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</si>
  <si>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</si>
  <si>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</si>
  <si>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</si>
  <si>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</si>
  <si>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</si>
  <si>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</si>
  <si>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</si>
  <si>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</si>
  <si>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</si>
  <si>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</si>
  <si>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</si>
  <si>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</si>
  <si>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</si>
  <si>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</si>
  <si>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</si>
  <si>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</si>
  <si>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</si>
  <si>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</si>
  <si>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</si>
  <si>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</si>
  <si>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</si>
  <si>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</si>
  <si>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</si>
  <si>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</si>
  <si>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</si>
  <si>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</si>
  <si>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</si>
  <si>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</si>
  <si>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</si>
  <si>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</si>
  <si>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</si>
  <si>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</si>
  <si>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</si>
  <si>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</si>
  <si>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</si>
  <si>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</si>
  <si>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</si>
  <si>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</si>
  <si>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</si>
  <si>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</si>
  <si>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</si>
  <si>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</si>
  <si>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</si>
  <si>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</si>
  <si>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</si>
  <si>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</si>
  <si>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</si>
  <si>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</si>
  <si>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</si>
  <si>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</si>
  <si>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</si>
  <si>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</si>
  <si>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</si>
  <si>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</si>
  <si>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</si>
  <si>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</si>
  <si>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</si>
  <si>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</si>
  <si>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</si>
  <si>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</si>
  <si>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</si>
  <si>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</si>
  <si>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</si>
  <si>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</si>
  <si>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</si>
  <si>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</si>
  <si>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</si>
  <si>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</si>
  <si>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</si>
  <si>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</si>
  <si>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</si>
  <si>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</si>
  <si>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</si>
  <si>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</si>
  <si>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</si>
  <si>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</si>
  <si>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</si>
  <si>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</si>
  <si>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</si>
  <si>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</si>
  <si>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</si>
  <si>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</si>
  <si>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</si>
  <si>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</si>
  <si>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</si>
  <si>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</si>
  <si>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</si>
  <si>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</si>
  <si>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</si>
  <si>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</si>
  <si>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</si>
  <si>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</si>
  <si>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</si>
  <si>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</si>
  <si>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</si>
  <si>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</si>
  <si>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</si>
  <si>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</si>
  <si>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</si>
  <si>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</si>
  <si>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</si>
  <si>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</si>
  <si>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</si>
  <si>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</si>
  <si>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</si>
  <si>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</si>
  <si>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</si>
  <si>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</si>
  <si>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</si>
  <si>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</si>
  <si>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</si>
  <si>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</si>
  <si>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</si>
  <si>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</si>
  <si>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</si>
  <si>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</si>
  <si>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</si>
  <si>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</si>
  <si>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</si>
  <si>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</si>
  <si>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</si>
  <si>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</si>
  <si>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</si>
  <si>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</si>
  <si>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</si>
  <si>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</si>
  <si>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</si>
  <si>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</si>
  <si>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</si>
  <si>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</si>
  <si>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</si>
  <si>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</si>
  <si>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</si>
  <si>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</si>
  <si>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</si>
  <si>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</si>
  <si>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</si>
  <si>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</si>
  <si>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</si>
  <si>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</si>
  <si>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</si>
  <si>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</si>
  <si>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</si>
  <si>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</si>
  <si>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</si>
  <si>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</si>
  <si>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</si>
  <si>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</si>
  <si>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</si>
  <si>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</si>
  <si>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</si>
  <si>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</si>
  <si>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</si>
  <si>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</si>
  <si>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</si>
  <si>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</si>
  <si>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</si>
  <si>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</si>
  <si>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</si>
  <si>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</si>
  <si>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</si>
  <si>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</si>
  <si>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</si>
  <si>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</si>
  <si>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</si>
  <si>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</si>
  <si>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</si>
  <si>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</si>
  <si>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</si>
  <si>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</si>
  <si>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</si>
  <si>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</si>
  <si>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</si>
  <si>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</si>
  <si>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</si>
  <si>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</si>
  <si>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</si>
  <si>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</si>
  <si>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</si>
  <si>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</si>
  <si>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</si>
  <si>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</si>
  <si>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</si>
  <si>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</si>
  <si>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</si>
  <si>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</si>
  <si>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</si>
  <si>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</si>
  <si>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</si>
  <si>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</si>
  <si>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</si>
  <si>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</si>
  <si>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</si>
  <si>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</si>
  <si>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</si>
  <si>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</si>
  <si>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</si>
  <si>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</si>
  <si>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</si>
  <si>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</si>
  <si>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</si>
  <si>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</si>
  <si>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</si>
  <si>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</si>
  <si>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</si>
  <si>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</si>
  <si>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</si>
  <si>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</si>
  <si>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</si>
  <si>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</si>
  <si>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</si>
  <si>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</si>
  <si>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</si>
  <si>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</si>
  <si>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</si>
  <si>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</si>
  <si>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</si>
  <si>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</si>
  <si>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</si>
  <si>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</si>
  <si>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</si>
  <si>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</si>
  <si>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</si>
  <si>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</si>
  <si>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</si>
  <si>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</si>
  <si>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</si>
  <si>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</si>
  <si>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Quantity</t>
  </si>
  <si>
    <t>Sum of Rating</t>
  </si>
  <si>
    <t>Average of Rating</t>
  </si>
  <si>
    <t>Jan</t>
  </si>
  <si>
    <t>Feb</t>
  </si>
  <si>
    <t>Mar</t>
  </si>
  <si>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</sst>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_ &quot;₹&quot;\ * #,##0_ ;_ &quot;₹&quot;\ * \-#,##0_ ;_ &quot;₹&quot;\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7">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44" fontId="0" fillId="0" borderId="0" xfId="42" applyFont="1"/>
    <xf numFmtId="164"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b/>
        <sz val="11"/>
        <color theme="1"/>
      </font>
    </dxf>
    <dxf>
      <fill>
        <patternFill patternType="solid">
          <fgColor theme="0"/>
          <bgColor theme="7"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7"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0070C0"/>
        </patternFill>
      </fill>
    </dxf>
  </dxfs>
  <tableStyles count="10" defaultTableStyle="TableStyleMedium2" defaultPivotStyle="PivotStyleLight16">
    <tableStyle name="Slicer Style 1" pivot="0" table="0" count="1" xr9:uid="{7B1CD61F-6F58-4487-A641-6E29887CFBF2}">
      <tableStyleElement type="headerRow" dxfId="8"/>
    </tableStyle>
    <tableStyle name="Slicer Style 2" pivot="0" table="0" count="1" xr9:uid="{16767B64-F805-450C-A558-61C26B573779}"/>
    <tableStyle name="Slicer Style 3" pivot="0" table="0" count="0" xr9:uid="{7EBBD485-C99B-4A3E-A766-DB27F505A983}"/>
    <tableStyle name="Slicer Style 4" pivot="0" table="0" count="1" xr9:uid="{9737EC9D-580A-4D72-A275-4EA47D4C7E48}"/>
    <tableStyle name="Slicer Style 5" pivot="0" table="0" count="1" xr9:uid="{BD83F9BE-84FD-4C81-BADA-AE9A3D61A70A}"/>
    <tableStyle name="Slicer Style 6" pivot="0" table="0" count="1" xr9:uid="{F1EF55CC-4C14-4488-AE95-A7C94E834884}"/>
    <tableStyle name="Timeline Style 1" pivot="0" table="0" count="8" xr9:uid="{89089797-C9CA-4BD2-AE35-C04CFCEFA61D}">
      <tableStyleElement type="wholeTable" dxfId="7"/>
      <tableStyleElement type="headerRow" dxfId="6"/>
    </tableStyle>
    <tableStyle name="Timeline Style 2" pivot="0" table="0" count="8" xr9:uid="{C1412733-5C0B-4F9E-AD67-683E548ACED0}">
      <tableStyleElement type="wholeTable" dxfId="5"/>
      <tableStyleElement type="headerRow" dxfId="4"/>
    </tableStyle>
    <tableStyle name="Timeline Style 3" pivot="0" table="0" count="8" xr9:uid="{65171324-3500-4EB4-9C6F-ECC64927D569}">
      <tableStyleElement type="wholeTable" dxfId="3"/>
      <tableStyleElement type="headerRow" dxfId="2"/>
    </tableStyle>
    <tableStyle name="Timeline Style 4" pivot="0" table="0" count="8" xr9:uid="{FE4115CD-1D43-46F5-BEC0-ECCB73D1C78D}">
      <tableStyleElement type="wholeTable" dxfId="1"/>
      <tableStyleElement type="headerRow" dxfId="0"/>
    </tableStyle>
  </tableStyles>
  <extLst>
    <ext xmlns:x14="http://schemas.microsoft.com/office/spreadsheetml/2009/9/main" uri="{46F421CA-312F-682f-3DD2-61675219B42D}">
      <x14:dxfs count="4">
        <dxf>
          <fill>
            <patternFill>
              <bgColor theme="3" tint="0.24994659260841701"/>
            </patternFill>
          </fill>
        </dxf>
        <dxf>
          <fill>
            <patternFill>
              <bgColor theme="3" tint="0.24994659260841701"/>
            </patternFill>
          </fill>
        </dxf>
        <dxf>
          <fill>
            <patternFill>
              <bgColor theme="7" tint="0.39994506668294322"/>
            </patternFill>
          </fill>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3"/>
          </x14:slicerStyleElements>
        </x14:slicerStyle>
        <x14:slicerStyle name="Slicer Style 3"/>
        <x14:slicerStyle name="Slicer Style 4">
          <x14:slicerStyleElements>
            <x14:slicerStyleElement type="selectedItemWithNoData" dxfId="2"/>
          </x14:slicerStyleElements>
        </x14:slicerStyle>
        <x14:slicerStyle name="Slicer Style 5">
          <x14:slicerStyleElements>
            <x14:slicerStyleElement type="selectedItemWithData" dxfId="1"/>
          </x14:slicerStyleElements>
        </x14:slicerStyle>
        <x14:slicerStyle name="Slicer Style 6">
          <x14:slicerStyleElements>
            <x14:slicerStyleElement type="selectedItemWithData" dxfId="0"/>
          </x14:slicerStyleElements>
        </x14:slicerStyle>
      </x14:slicerStyles>
    </ext>
    <ext xmlns:x15="http://schemas.microsoft.com/office/spreadsheetml/2010/11/main" uri="{A0A4C193-F2C1-4fcb-8827-314CF55A85BB}">
      <x15:dxfs count="24">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7" tint="-0.24994659260841701"/>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7" tint="-0.499984740745262"/>
            <name val="Aptos Narrow"/>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2">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3">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4">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(2).xlsx]Sheet1!PivotTable7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c:f>
              <c:strCache>
                <c:ptCount val="1"/>
                <c:pt idx="0">
                  <c:v>Total</c:v>
                </c:pt>
              </c:strCache>
            </c:strRef>
          </c:tx>
          <c:spPr>
            <a:solidFill>
              <a:schemeClr val="accent1"/>
            </a:solidFill>
            <a:ln>
              <a:noFill/>
            </a:ln>
            <a:effectLst/>
          </c:spPr>
          <c:invertIfNegative val="0"/>
          <c:cat>
            <c:strRef>
              <c:f>Sheet1!$A$11:$A$14</c:f>
              <c:strCache>
                <c:ptCount val="3"/>
                <c:pt idx="0">
                  <c:v>A</c:v>
                </c:pt>
                <c:pt idx="1">
                  <c:v>B</c:v>
                </c:pt>
                <c:pt idx="2">
                  <c:v>C</c:v>
                </c:pt>
              </c:strCache>
            </c:strRef>
          </c:cat>
          <c:val>
            <c:numRef>
              <c:f>Sheet1!$B$11:$B$14</c:f>
              <c:numCache>
                <c:formatCode>General</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FAAE-49A3-89FF-C59A9222BE46}"/>
            </c:ext>
          </c:extLst>
        </c:ser>
        <c:dLbls>
          <c:showLegendKey val="0"/>
          <c:showVal val="0"/>
          <c:showCatName val="0"/>
          <c:showSerName val="0"/>
          <c:showPercent val="0"/>
          <c:showBubbleSize val="0"/>
        </c:dLbls>
        <c:gapWidth val="219"/>
        <c:overlap val="-27"/>
        <c:axId val="1784260144"/>
        <c:axId val="1784253424"/>
      </c:barChart>
      <c:catAx>
        <c:axId val="178426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253424"/>
        <c:crosses val="autoZero"/>
        <c:auto val="1"/>
        <c:lblAlgn val="ctr"/>
        <c:lblOffset val="100"/>
        <c:noMultiLvlLbl val="0"/>
      </c:catAx>
      <c:valAx>
        <c:axId val="178425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26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12000"/>
            <a:lumOff val="8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[supermarket_sales (2).xlsx]Sheet1!PivotTable1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Payment</a:t>
            </a:r>
            <a:r>
              <a:rPr lang="en-IN" b="1" baseline="0"/>
              <a:t> method distribution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660B-45A6-814F-12104645021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660B-45A6-814F-121046450212}"/>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660B-45A6-814F-121046450212}"/>
              </c:ext>
            </c:extLst>
          </c:dPt>
          <c:cat>
            <c:strRef>
              <c:f>Sheet1!$A$4:$A$7</c:f>
              <c:strCache>
                <c:ptCount val="3"/>
                <c:pt idx="0">
                  <c:v>Cash</c:v>
                </c:pt>
                <c:pt idx="1">
                  <c:v>Credit card</c:v>
                </c:pt>
                <c:pt idx="2">
                  <c:v>Ewallet</c:v>
                </c:pt>
              </c:strCache>
            </c:strRef>
          </c:cat>
          <c:val>
            <c:numRef>
              <c:f>Sheet1!$B$4:$B$7</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6-660B-45A6-814F-12104645021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4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(2).xlsx]Sheet1!PivotTable8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city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Sheet1!$B$17</c:f>
              <c:strCache>
                <c:ptCount val="1"/>
                <c:pt idx="0">
                  <c:v>Total</c:v>
                </c:pt>
              </c:strCache>
            </c:strRef>
          </c:tx>
          <c:spPr>
            <a:solidFill>
              <a:schemeClr val="accent1"/>
            </a:solidFill>
            <a:ln>
              <a:noFill/>
            </a:ln>
            <a:effectLst/>
          </c:spPr>
          <c:invertIfNegative val="0"/>
          <c:cat>
            <c:strRef>
              <c:f>Sheet1!$A$18:$A$21</c:f>
              <c:strCache>
                <c:ptCount val="3"/>
                <c:pt idx="0">
                  <c:v>Mandalay</c:v>
                </c:pt>
                <c:pt idx="1">
                  <c:v>Naypyitaw</c:v>
                </c:pt>
                <c:pt idx="2">
                  <c:v>Yangon</c:v>
                </c:pt>
              </c:strCache>
            </c:strRef>
          </c:cat>
          <c:val>
            <c:numRef>
              <c:f>Sheet1!$B$18:$B$21</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8A1F-4139-ACB0-402FCF05AE53}"/>
            </c:ext>
          </c:extLst>
        </c:ser>
        <c:dLbls>
          <c:showLegendKey val="0"/>
          <c:showVal val="0"/>
          <c:showCatName val="0"/>
          <c:showSerName val="0"/>
          <c:showPercent val="0"/>
          <c:showBubbleSize val="0"/>
        </c:dLbls>
        <c:gapWidth val="150"/>
        <c:overlap val="100"/>
        <c:axId val="1804283632"/>
        <c:axId val="1804276432"/>
      </c:barChart>
      <c:catAx>
        <c:axId val="180428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276432"/>
        <c:crosses val="autoZero"/>
        <c:auto val="1"/>
        <c:lblAlgn val="ctr"/>
        <c:lblOffset val="100"/>
        <c:noMultiLvlLbl val="0"/>
      </c:catAx>
      <c:valAx>
        <c:axId val="1804276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28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30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[supermarket_sales (2).xlsx]Sheet1!PivotTable10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Gender</a:t>
            </a:r>
            <a:r>
              <a:rPr lang="en-IN" b="1" baseline="0"/>
              <a:t> wise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dLbl>
          <c:idx val="0"/>
          <c:layout>
            <c:manualLayout>
              <c:x val="6.6499129198848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tint val="77000"/>
            </a:schemeClr>
          </a:solidFill>
          <a:ln w="19050">
            <a:solidFill>
              <a:schemeClr val="lt1"/>
            </a:solidFill>
          </a:ln>
          <a:effectLst/>
        </c:spPr>
      </c:pivotFmt>
    </c:pivotFmts>
    <c:plotArea>
      <c:layout>
        <c:manualLayout>
          <c:layoutTarget val="inner"/>
          <c:xMode val="edge"/>
          <c:yMode val="edge"/>
          <c:x val="0.20126755809067173"/>
          <c:y val="0.38825893358660901"/>
          <c:w val="0.37764861085277723"/>
          <c:h val="0.55986039196462312"/>
        </c:manualLayout>
      </c:layout>
      <c:doughnutChart>
        <c:varyColors val="1"/>
        <c:ser>
          <c:idx val="0"/>
          <c:order val="0"/>
          <c:tx>
            <c:strRef>
              <c:f>Sheet1!$H$7</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87CF-4ADF-9AD1-F7FF8B7187C0}"/>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87CF-4ADF-9AD1-F7FF8B7187C0}"/>
              </c:ext>
            </c:extLst>
          </c:dPt>
          <c:dLbls>
            <c:dLbl>
              <c:idx val="0"/>
              <c:layout>
                <c:manualLayout>
                  <c:x val="6.64991291988484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7CF-4ADF-9AD1-F7FF8B7187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Sheet1!$G$8:$G$10</c:f>
              <c:strCache>
                <c:ptCount val="2"/>
                <c:pt idx="0">
                  <c:v>Female</c:v>
                </c:pt>
                <c:pt idx="1">
                  <c:v>Male</c:v>
                </c:pt>
              </c:strCache>
            </c:strRef>
          </c:cat>
          <c:val>
            <c:numRef>
              <c:f>Sheet1!$H$8:$H$10</c:f>
              <c:numCache>
                <c:formatCode>General</c:formatCode>
                <c:ptCount val="2"/>
                <c:pt idx="0">
                  <c:v>167882.92500000002</c:v>
                </c:pt>
                <c:pt idx="1">
                  <c:v>155083.82400000014</c:v>
                </c:pt>
              </c:numCache>
            </c:numRef>
          </c:val>
          <c:extLst>
            <c:ext xmlns:c16="http://schemas.microsoft.com/office/drawing/2014/chart" uri="{C3380CC4-5D6E-409C-BE32-E72D297353CC}">
              <c16:uniqueId val="{00000004-87CF-4ADF-9AD1-F7FF8B7187C0}"/>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4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(2).xlsx]Sheet1!PivotTable9</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400" b="1">
                <a:solidFill>
                  <a:schemeClr val="tx1">
                    <a:lumMod val="75000"/>
                    <a:lumOff val="25000"/>
                  </a:schemeClr>
                </a:solidFill>
                <a:latin typeface="+mn-lt"/>
              </a:rPr>
              <a:t>Average</a:t>
            </a:r>
            <a:r>
              <a:rPr lang="en-US" sz="1400" b="1" baseline="0">
                <a:solidFill>
                  <a:schemeClr val="tx1">
                    <a:lumMod val="75000"/>
                    <a:lumOff val="25000"/>
                  </a:schemeClr>
                </a:solidFill>
                <a:latin typeface="+mn-lt"/>
              </a:rPr>
              <a:t> rating by product line</a:t>
            </a:r>
            <a:endParaRPr lang="en-US" sz="1400" b="1">
              <a:solidFill>
                <a:schemeClr val="tx1">
                  <a:lumMod val="75000"/>
                  <a:lumOff val="25000"/>
                </a:schemeClr>
              </a:solidFill>
              <a:latin typeface="+mn-lt"/>
            </a:endParaRPr>
          </a:p>
        </c:rich>
      </c:tx>
      <c:layout>
        <c:manualLayout>
          <c:xMode val="edge"/>
          <c:yMode val="edge"/>
          <c:x val="0.29911621425700774"/>
          <c:y val="4.9439781686087689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Sheet1!$E$7</c:f>
              <c:strCache>
                <c:ptCount val="1"/>
                <c:pt idx="0">
                  <c:v>Total</c:v>
                </c:pt>
              </c:strCache>
            </c:strRef>
          </c:tx>
          <c:spPr>
            <a:solidFill>
              <a:schemeClr val="accent1"/>
            </a:solidFill>
            <a:ln>
              <a:noFill/>
            </a:ln>
            <a:effectLst/>
          </c:spPr>
          <c:cat>
            <c:strRef>
              <c:f>Sheet1!$D$8:$D$14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Sheet1!$E$8:$E$14</c:f>
              <c:numCache>
                <c:formatCode>General</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93E4-4ED9-9C8C-DA0E4495AEC6}"/>
            </c:ext>
          </c:extLst>
        </c:ser>
        <c:dLbls>
          <c:showLegendKey val="0"/>
          <c:showVal val="0"/>
          <c:showCatName val="0"/>
          <c:showSerName val="0"/>
          <c:showPercent val="0"/>
          <c:showBubbleSize val="0"/>
        </c:dLbls>
        <c:axId val="1804312912"/>
        <c:axId val="1804314352"/>
      </c:areaChart>
      <c:catAx>
        <c:axId val="180431291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04314352"/>
        <c:crosses val="autoZero"/>
        <c:auto val="1"/>
        <c:lblAlgn val="ctr"/>
        <c:lblOffset val="100"/>
        <c:noMultiLvlLbl val="0"/>
      </c:catAx>
      <c:valAx>
        <c:axId val="18043143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04312912"/>
        <c:crosses val="autoZero"/>
        <c:crossBetween val="midCat"/>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29378">
          <a:srgbClr val="BFE3F5"/>
        </a:gs>
        <a:gs pos="41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4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(2).xlsx]Sheet1!PivotTable11</c:name>
    <c:fmtId val="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layout>
        <c:manualLayout>
          <c:xMode val="edge"/>
          <c:yMode val="edge"/>
          <c:x val="0.3619108451998691"/>
          <c:y val="6.003737991356975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Sheet1!$K$6</c:f>
              <c:strCache>
                <c:ptCount val="1"/>
                <c:pt idx="0">
                  <c:v>Total</c:v>
                </c:pt>
              </c:strCache>
            </c:strRef>
          </c:tx>
          <c:spPr>
            <a:ln w="28575" cap="rnd">
              <a:solidFill>
                <a:schemeClr val="accent1"/>
              </a:solidFill>
              <a:round/>
            </a:ln>
            <a:effectLst/>
          </c:spPr>
          <c:marker>
            <c:symbol val="none"/>
          </c:marker>
          <c:cat>
            <c:strRef>
              <c:f>Sheet1!$J$7:$J$10</c:f>
              <c:strCache>
                <c:ptCount val="3"/>
                <c:pt idx="0">
                  <c:v>Jan</c:v>
                </c:pt>
                <c:pt idx="1">
                  <c:v>Feb</c:v>
                </c:pt>
                <c:pt idx="2">
                  <c:v>Mar</c:v>
                </c:pt>
              </c:strCache>
            </c:strRef>
          </c:cat>
          <c:val>
            <c:numRef>
              <c:f>Sheet1!$K$7:$K$10</c:f>
              <c:numCache>
                <c:formatCode>General</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3990-40F9-90F6-AE7EB9529691}"/>
            </c:ext>
          </c:extLst>
        </c:ser>
        <c:dLbls>
          <c:showLegendKey val="0"/>
          <c:showVal val="0"/>
          <c:showCatName val="0"/>
          <c:showSerName val="0"/>
          <c:showPercent val="0"/>
          <c:showBubbleSize val="0"/>
        </c:dLbls>
        <c:smooth val="0"/>
        <c:axId val="1870591168"/>
        <c:axId val="1870583968"/>
      </c:lineChart>
      <c:catAx>
        <c:axId val="187059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583968"/>
        <c:crosses val="autoZero"/>
        <c:auto val="1"/>
        <c:lblAlgn val="ctr"/>
        <c:lblOffset val="100"/>
        <c:noMultiLvlLbl val="0"/>
      </c:catAx>
      <c:valAx>
        <c:axId val="187058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59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4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9180</xdr:rowOff>
    </xdr:from>
    <xdr:to>
      <xdr:col>27</xdr:col>
      <xdr:colOff>201977</xdr:colOff>
      <xdr:row>37</xdr:row>
      <xdr:rowOff>91807</xdr:rowOff>
    </xdr:to>
    <xdr:sp macro="" textlink="">
      <xdr:nvSpPr>
        <xdr:cNvPr id="4" name="Rectangle 3">
          <a:extLst>
            <a:ext uri="{FF2B5EF4-FFF2-40B4-BE49-F238E27FC236}">
              <a16:creationId xmlns:a16="http://schemas.microsoft.com/office/drawing/2014/main" id="{1DE167CA-072E-3599-BDC4-9196AC2F93DF}"/>
            </a:ext>
          </a:extLst>
        </xdr:cNvPr>
        <xdr:cNvSpPr/>
      </xdr:nvSpPr>
      <xdr:spPr>
        <a:xfrm>
          <a:off x="1" y="9180"/>
          <a:ext cx="16562024" cy="6876362"/>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400" b="1"/>
        </a:p>
      </xdr:txBody>
    </xdr:sp>
    <xdr:clientData/>
  </xdr:twoCellAnchor>
  <xdr:twoCellAnchor>
    <xdr:from>
      <xdr:col>6</xdr:col>
      <xdr:colOff>293782</xdr:colOff>
      <xdr:row>4</xdr:row>
      <xdr:rowOff>73447</xdr:rowOff>
    </xdr:from>
    <xdr:to>
      <xdr:col>10</xdr:col>
      <xdr:colOff>18360</xdr:colOff>
      <xdr:row>9</xdr:row>
      <xdr:rowOff>64267</xdr:rowOff>
    </xdr:to>
    <xdr:sp macro="" textlink="">
      <xdr:nvSpPr>
        <xdr:cNvPr id="6" name="Rectangle 5">
          <a:extLst>
            <a:ext uri="{FF2B5EF4-FFF2-40B4-BE49-F238E27FC236}">
              <a16:creationId xmlns:a16="http://schemas.microsoft.com/office/drawing/2014/main" id="{647E2B58-14B0-4FBD-A218-03F8E1259CD3}"/>
            </a:ext>
          </a:extLst>
        </xdr:cNvPr>
        <xdr:cNvSpPr/>
      </xdr:nvSpPr>
      <xdr:spPr>
        <a:xfrm>
          <a:off x="3929348" y="807905"/>
          <a:ext cx="2148289" cy="908892"/>
        </a:xfrm>
        <a:prstGeom prst="rect">
          <a:avLst/>
        </a:prstGeom>
        <a:gradFill>
          <a:gsLst>
            <a:gs pos="0">
              <a:schemeClr val="accent4">
                <a:lumMod val="50000"/>
              </a:schemeClr>
            </a:gs>
            <a:gs pos="74000">
              <a:schemeClr val="accent4">
                <a:lumMod val="75000"/>
              </a:schemeClr>
            </a:gs>
            <a:gs pos="83000">
              <a:schemeClr val="accent4">
                <a:lumMod val="75000"/>
              </a:schemeClr>
            </a:gs>
            <a:gs pos="24000">
              <a:schemeClr val="accent4">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SUM OF TAX</a:t>
          </a:r>
        </a:p>
      </xdr:txBody>
    </xdr:sp>
    <xdr:clientData/>
  </xdr:twoCellAnchor>
  <xdr:twoCellAnchor>
    <xdr:from>
      <xdr:col>10</xdr:col>
      <xdr:colOff>110168</xdr:colOff>
      <xdr:row>4</xdr:row>
      <xdr:rowOff>73489</xdr:rowOff>
    </xdr:from>
    <xdr:to>
      <xdr:col>14</xdr:col>
      <xdr:colOff>18360</xdr:colOff>
      <xdr:row>9</xdr:row>
      <xdr:rowOff>82627</xdr:rowOff>
    </xdr:to>
    <xdr:sp macro="" textlink="">
      <xdr:nvSpPr>
        <xdr:cNvPr id="7" name="Rectangle 6">
          <a:extLst>
            <a:ext uri="{FF2B5EF4-FFF2-40B4-BE49-F238E27FC236}">
              <a16:creationId xmlns:a16="http://schemas.microsoft.com/office/drawing/2014/main" id="{BBD45572-A9B4-4216-8428-C2DA3EF51412}"/>
            </a:ext>
          </a:extLst>
        </xdr:cNvPr>
        <xdr:cNvSpPr/>
      </xdr:nvSpPr>
      <xdr:spPr>
        <a:xfrm>
          <a:off x="6169445" y="807947"/>
          <a:ext cx="2331903" cy="927210"/>
        </a:xfrm>
        <a:prstGeom prst="rect">
          <a:avLst/>
        </a:prstGeom>
        <a:gradFill>
          <a:gsLst>
            <a:gs pos="0">
              <a:schemeClr val="accent4">
                <a:lumMod val="50000"/>
              </a:schemeClr>
            </a:gs>
            <a:gs pos="74000">
              <a:schemeClr val="accent4">
                <a:lumMod val="75000"/>
              </a:schemeClr>
            </a:gs>
            <a:gs pos="83000">
              <a:schemeClr val="accent4">
                <a:lumMod val="75000"/>
              </a:schemeClr>
            </a:gs>
            <a:gs pos="24000">
              <a:schemeClr val="accent4">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TOTAL QUANTITY</a:t>
          </a:r>
        </a:p>
      </xdr:txBody>
    </xdr:sp>
    <xdr:clientData/>
  </xdr:twoCellAnchor>
  <xdr:twoCellAnchor>
    <xdr:from>
      <xdr:col>14</xdr:col>
      <xdr:colOff>82627</xdr:colOff>
      <xdr:row>4</xdr:row>
      <xdr:rowOff>73446</xdr:rowOff>
    </xdr:from>
    <xdr:to>
      <xdr:col>18</xdr:col>
      <xdr:colOff>211156</xdr:colOff>
      <xdr:row>9</xdr:row>
      <xdr:rowOff>73445</xdr:rowOff>
    </xdr:to>
    <xdr:sp macro="" textlink="">
      <xdr:nvSpPr>
        <xdr:cNvPr id="23" name="Rectangle 7">
          <a:extLst>
            <a:ext uri="{FF2B5EF4-FFF2-40B4-BE49-F238E27FC236}">
              <a16:creationId xmlns:a16="http://schemas.microsoft.com/office/drawing/2014/main" id="{DF1112EC-CBD6-468F-94E9-8AFD09FD05AA}"/>
            </a:ext>
          </a:extLst>
        </xdr:cNvPr>
        <xdr:cNvSpPr/>
      </xdr:nvSpPr>
      <xdr:spPr>
        <a:xfrm>
          <a:off x="8565615" y="807904"/>
          <a:ext cx="2552240" cy="918071"/>
        </a:xfrm>
        <a:prstGeom prst="rect">
          <a:avLst/>
        </a:prstGeom>
        <a:gradFill>
          <a:gsLst>
            <a:gs pos="0">
              <a:schemeClr val="accent4">
                <a:lumMod val="50000"/>
              </a:schemeClr>
            </a:gs>
            <a:gs pos="74000">
              <a:schemeClr val="accent4">
                <a:lumMod val="75000"/>
              </a:schemeClr>
            </a:gs>
            <a:gs pos="83000">
              <a:schemeClr val="accent4">
                <a:lumMod val="75000"/>
              </a:schemeClr>
            </a:gs>
            <a:gs pos="24000">
              <a:schemeClr val="accent4">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AVERAGE RATING</a:t>
          </a:r>
        </a:p>
      </xdr:txBody>
    </xdr:sp>
    <xdr:clientData/>
  </xdr:twoCellAnchor>
  <xdr:twoCellAnchor>
    <xdr:from>
      <xdr:col>0</xdr:col>
      <xdr:colOff>0</xdr:colOff>
      <xdr:row>0</xdr:row>
      <xdr:rowOff>0</xdr:rowOff>
    </xdr:from>
    <xdr:to>
      <xdr:col>27</xdr:col>
      <xdr:colOff>174434</xdr:colOff>
      <xdr:row>4</xdr:row>
      <xdr:rowOff>18361</xdr:rowOff>
    </xdr:to>
    <xdr:sp macro="" textlink="">
      <xdr:nvSpPr>
        <xdr:cNvPr id="9" name="Rectangle 8">
          <a:extLst>
            <a:ext uri="{FF2B5EF4-FFF2-40B4-BE49-F238E27FC236}">
              <a16:creationId xmlns:a16="http://schemas.microsoft.com/office/drawing/2014/main" id="{535357E3-3B66-4FC0-982B-ADAF087FAB3C}"/>
            </a:ext>
          </a:extLst>
        </xdr:cNvPr>
        <xdr:cNvSpPr/>
      </xdr:nvSpPr>
      <xdr:spPr>
        <a:xfrm>
          <a:off x="0" y="0"/>
          <a:ext cx="16534482" cy="752819"/>
        </a:xfrm>
        <a:prstGeom prst="rect">
          <a:avLst/>
        </a:prstGeom>
        <a:gradFill>
          <a:gsLst>
            <a:gs pos="0">
              <a:schemeClr val="accent4">
                <a:lumMod val="50000"/>
              </a:schemeClr>
            </a:gs>
            <a:gs pos="74000">
              <a:schemeClr val="accent4">
                <a:lumMod val="75000"/>
              </a:schemeClr>
            </a:gs>
            <a:gs pos="83000">
              <a:schemeClr val="accent4">
                <a:lumMod val="75000"/>
              </a:schemeClr>
            </a:gs>
            <a:gs pos="24000">
              <a:schemeClr val="accent4">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107139</xdr:colOff>
      <xdr:row>0</xdr:row>
      <xdr:rowOff>67020</xdr:rowOff>
    </xdr:from>
    <xdr:to>
      <xdr:col>22</xdr:col>
      <xdr:colOff>156072</xdr:colOff>
      <xdr:row>4</xdr:row>
      <xdr:rowOff>27542</xdr:rowOff>
    </xdr:to>
    <xdr:sp macro="" textlink="">
      <xdr:nvSpPr>
        <xdr:cNvPr id="10" name="TextBox 9">
          <a:extLst>
            <a:ext uri="{FF2B5EF4-FFF2-40B4-BE49-F238E27FC236}">
              <a16:creationId xmlns:a16="http://schemas.microsoft.com/office/drawing/2014/main" id="{F1C9B0B9-B8D7-7D93-0B2E-D4DE9509A0DF}"/>
            </a:ext>
          </a:extLst>
        </xdr:cNvPr>
        <xdr:cNvSpPr txBox="1"/>
      </xdr:nvSpPr>
      <xdr:spPr>
        <a:xfrm>
          <a:off x="1318994" y="67020"/>
          <a:ext cx="12167488" cy="694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rPr>
            <a:t>SUPERMARKET SALES DASHBOARD</a:t>
          </a:r>
        </a:p>
      </xdr:txBody>
    </xdr:sp>
    <xdr:clientData/>
  </xdr:twoCellAnchor>
  <xdr:twoCellAnchor editAs="oneCell">
    <xdr:from>
      <xdr:col>3</xdr:col>
      <xdr:colOff>34060</xdr:colOff>
      <xdr:row>0</xdr:row>
      <xdr:rowOff>154512</xdr:rowOff>
    </xdr:from>
    <xdr:to>
      <xdr:col>5</xdr:col>
      <xdr:colOff>137710</xdr:colOff>
      <xdr:row>4</xdr:row>
      <xdr:rowOff>0</xdr:rowOff>
    </xdr:to>
    <xdr:pic>
      <xdr:nvPicPr>
        <xdr:cNvPr id="12" name="Graphic 11" descr="Bar graph with upward trend with solid fill">
          <a:extLst>
            <a:ext uri="{FF2B5EF4-FFF2-40B4-BE49-F238E27FC236}">
              <a16:creationId xmlns:a16="http://schemas.microsoft.com/office/drawing/2014/main" id="{81F69952-924F-12FD-F6DA-5FD32511C6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51843" y="154512"/>
          <a:ext cx="1315506" cy="579946"/>
        </a:xfrm>
        <a:prstGeom prst="rect">
          <a:avLst/>
        </a:prstGeom>
      </xdr:spPr>
    </xdr:pic>
    <xdr:clientData/>
  </xdr:twoCellAnchor>
  <xdr:twoCellAnchor>
    <xdr:from>
      <xdr:col>2</xdr:col>
      <xdr:colOff>459035</xdr:colOff>
      <xdr:row>4</xdr:row>
      <xdr:rowOff>73446</xdr:rowOff>
    </xdr:from>
    <xdr:to>
      <xdr:col>6</xdr:col>
      <xdr:colOff>220337</xdr:colOff>
      <xdr:row>9</xdr:row>
      <xdr:rowOff>82627</xdr:rowOff>
    </xdr:to>
    <xdr:sp macro="" textlink="">
      <xdr:nvSpPr>
        <xdr:cNvPr id="2" name="Rectangle 1">
          <a:extLst>
            <a:ext uri="{FF2B5EF4-FFF2-40B4-BE49-F238E27FC236}">
              <a16:creationId xmlns:a16="http://schemas.microsoft.com/office/drawing/2014/main" id="{23C1C2F7-B92A-403C-AD57-BC6032106F9E}"/>
            </a:ext>
          </a:extLst>
        </xdr:cNvPr>
        <xdr:cNvSpPr/>
      </xdr:nvSpPr>
      <xdr:spPr>
        <a:xfrm>
          <a:off x="1670890" y="807904"/>
          <a:ext cx="2185013" cy="927253"/>
        </a:xfrm>
        <a:prstGeom prst="rect">
          <a:avLst/>
        </a:prstGeom>
        <a:gradFill>
          <a:gsLst>
            <a:gs pos="0">
              <a:schemeClr val="accent4">
                <a:lumMod val="50000"/>
              </a:schemeClr>
            </a:gs>
            <a:gs pos="74000">
              <a:schemeClr val="accent4">
                <a:lumMod val="75000"/>
              </a:schemeClr>
            </a:gs>
            <a:gs pos="83000">
              <a:schemeClr val="accent4">
                <a:lumMod val="75000"/>
              </a:schemeClr>
            </a:gs>
            <a:gs pos="24000">
              <a:schemeClr val="accent4">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 TOTAL sales</a:t>
          </a:r>
        </a:p>
      </xdr:txBody>
    </xdr:sp>
    <xdr:clientData/>
  </xdr:twoCellAnchor>
  <xdr:twoCellAnchor>
    <xdr:from>
      <xdr:col>3</xdr:col>
      <xdr:colOff>505989</xdr:colOff>
      <xdr:row>7</xdr:row>
      <xdr:rowOff>14134</xdr:rowOff>
    </xdr:from>
    <xdr:to>
      <xdr:col>5</xdr:col>
      <xdr:colOff>214362</xdr:colOff>
      <xdr:row>8</xdr:row>
      <xdr:rowOff>113194</xdr:rowOff>
    </xdr:to>
    <xdr:sp macro="" textlink="Sheet1!E16">
      <xdr:nvSpPr>
        <xdr:cNvPr id="11" name="TextBox 10">
          <a:extLst>
            <a:ext uri="{FF2B5EF4-FFF2-40B4-BE49-F238E27FC236}">
              <a16:creationId xmlns:a16="http://schemas.microsoft.com/office/drawing/2014/main" id="{ECBC7A25-EAE7-3AD5-7AD6-67EB5DE8EDC3}"/>
            </a:ext>
          </a:extLst>
        </xdr:cNvPr>
        <xdr:cNvSpPr txBox="1"/>
      </xdr:nvSpPr>
      <xdr:spPr>
        <a:xfrm>
          <a:off x="2323772" y="1299435"/>
          <a:ext cx="920229" cy="282675"/>
        </a:xfrm>
        <a:prstGeom prst="rect">
          <a:avLst/>
        </a:prstGeom>
        <a:gradFill>
          <a:gsLst>
            <a:gs pos="0">
              <a:schemeClr val="accent4">
                <a:lumMod val="50000"/>
              </a:schemeClr>
            </a:gs>
            <a:gs pos="74000">
              <a:schemeClr val="accent4">
                <a:lumMod val="75000"/>
              </a:schemeClr>
            </a:gs>
            <a:gs pos="83000">
              <a:schemeClr val="accent4">
                <a:lumMod val="75000"/>
              </a:schemeClr>
            </a:gs>
            <a:gs pos="24000">
              <a:schemeClr val="accent4">
                <a:lumMod val="75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362F8-BBBD-4AFF-A8E9-A2C954334B81}" type="TxLink">
            <a:rPr lang="en-US" sz="1200" b="0" i="0" u="none" strike="noStrike">
              <a:solidFill>
                <a:schemeClr val="bg1"/>
              </a:solidFill>
              <a:latin typeface="Aptos Narrow"/>
            </a:rPr>
            <a:pPr/>
            <a:t> ₹ 3,22,967 </a:t>
          </a:fld>
          <a:endParaRPr lang="en-IN" sz="1200">
            <a:solidFill>
              <a:schemeClr val="bg1"/>
            </a:solidFill>
          </a:endParaRPr>
        </a:p>
      </xdr:txBody>
    </xdr:sp>
    <xdr:clientData/>
  </xdr:twoCellAnchor>
  <xdr:twoCellAnchor>
    <xdr:from>
      <xdr:col>12</xdr:col>
      <xdr:colOff>0</xdr:colOff>
      <xdr:row>16</xdr:row>
      <xdr:rowOff>22860</xdr:rowOff>
    </xdr:from>
    <xdr:to>
      <xdr:col>12</xdr:col>
      <xdr:colOff>68580</xdr:colOff>
      <xdr:row>16</xdr:row>
      <xdr:rowOff>83820</xdr:rowOff>
    </xdr:to>
    <xdr:sp macro="" textlink="">
      <xdr:nvSpPr>
        <xdr:cNvPr id="13" name="TextBox 12">
          <a:extLst>
            <a:ext uri="{FF2B5EF4-FFF2-40B4-BE49-F238E27FC236}">
              <a16:creationId xmlns:a16="http://schemas.microsoft.com/office/drawing/2014/main" id="{90F2C496-0F99-366C-252C-4F55134095A4}"/>
            </a:ext>
          </a:extLst>
        </xdr:cNvPr>
        <xdr:cNvSpPr txBox="1"/>
      </xdr:nvSpPr>
      <xdr:spPr>
        <a:xfrm>
          <a:off x="7315200" y="2948940"/>
          <a:ext cx="68580" cy="60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231676</xdr:colOff>
      <xdr:row>6</xdr:row>
      <xdr:rowOff>183432</xdr:rowOff>
    </xdr:from>
    <xdr:to>
      <xdr:col>8</xdr:col>
      <xdr:colOff>540423</xdr:colOff>
      <xdr:row>8</xdr:row>
      <xdr:rowOff>98878</xdr:rowOff>
    </xdr:to>
    <xdr:sp macro="" textlink="Sheet1!G13">
      <xdr:nvSpPr>
        <xdr:cNvPr id="16" name="TextBox 15">
          <a:extLst>
            <a:ext uri="{FF2B5EF4-FFF2-40B4-BE49-F238E27FC236}">
              <a16:creationId xmlns:a16="http://schemas.microsoft.com/office/drawing/2014/main" id="{D91E38E4-2CF0-40DC-932D-42B7F706CE9B}"/>
            </a:ext>
          </a:extLst>
        </xdr:cNvPr>
        <xdr:cNvSpPr txBox="1"/>
      </xdr:nvSpPr>
      <xdr:spPr>
        <a:xfrm>
          <a:off x="4473170" y="1285119"/>
          <a:ext cx="914675" cy="282675"/>
        </a:xfrm>
        <a:prstGeom prst="rect">
          <a:avLst/>
        </a:prstGeom>
        <a:gradFill>
          <a:gsLst>
            <a:gs pos="0">
              <a:schemeClr val="accent4">
                <a:lumMod val="50000"/>
              </a:schemeClr>
            </a:gs>
            <a:gs pos="74000">
              <a:schemeClr val="accent4">
                <a:lumMod val="75000"/>
              </a:schemeClr>
            </a:gs>
            <a:gs pos="83000">
              <a:schemeClr val="accent4">
                <a:lumMod val="75000"/>
              </a:schemeClr>
            </a:gs>
            <a:gs pos="24000">
              <a:schemeClr val="accent4">
                <a:lumMod val="75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36AF6D-A768-4027-BB96-4741FABB106B}" type="TxLink">
            <a:rPr lang="en-US" sz="1200" b="0" i="0" u="none" strike="noStrike">
              <a:solidFill>
                <a:schemeClr val="bg1"/>
              </a:solidFill>
              <a:latin typeface="Aptos Narrow"/>
            </a:rPr>
            <a:pPr/>
            <a:t>15379.369</a:t>
          </a:fld>
          <a:endParaRPr lang="en-IN" sz="1200">
            <a:solidFill>
              <a:schemeClr val="bg1"/>
            </a:solidFill>
          </a:endParaRPr>
        </a:p>
      </xdr:txBody>
    </xdr:sp>
    <xdr:clientData/>
  </xdr:twoCellAnchor>
  <xdr:twoCellAnchor>
    <xdr:from>
      <xdr:col>11</xdr:col>
      <xdr:colOff>201897</xdr:colOff>
      <xdr:row>7</xdr:row>
      <xdr:rowOff>27133</xdr:rowOff>
    </xdr:from>
    <xdr:to>
      <xdr:col>12</xdr:col>
      <xdr:colOff>508762</xdr:colOff>
      <xdr:row>8</xdr:row>
      <xdr:rowOff>126193</xdr:rowOff>
    </xdr:to>
    <xdr:sp macro="" textlink="Sheet1!I13">
      <xdr:nvSpPr>
        <xdr:cNvPr id="17" name="TextBox 16">
          <a:extLst>
            <a:ext uri="{FF2B5EF4-FFF2-40B4-BE49-F238E27FC236}">
              <a16:creationId xmlns:a16="http://schemas.microsoft.com/office/drawing/2014/main" id="{45DE4E50-2C32-42CC-B706-D41FEF5BEC5A}"/>
            </a:ext>
          </a:extLst>
        </xdr:cNvPr>
        <xdr:cNvSpPr txBox="1"/>
      </xdr:nvSpPr>
      <xdr:spPr>
        <a:xfrm>
          <a:off x="6867102" y="1312434"/>
          <a:ext cx="912793" cy="282675"/>
        </a:xfrm>
        <a:prstGeom prst="rect">
          <a:avLst/>
        </a:prstGeom>
        <a:gradFill>
          <a:gsLst>
            <a:gs pos="0">
              <a:schemeClr val="accent4">
                <a:lumMod val="50000"/>
              </a:schemeClr>
            </a:gs>
            <a:gs pos="74000">
              <a:schemeClr val="accent4">
                <a:lumMod val="75000"/>
              </a:schemeClr>
            </a:gs>
            <a:gs pos="83000">
              <a:schemeClr val="accent4">
                <a:lumMod val="75000"/>
              </a:schemeClr>
            </a:gs>
            <a:gs pos="24000">
              <a:schemeClr val="accent4">
                <a:lumMod val="75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15F0A2-EE40-43B2-9CD6-3E4D94257ABB}" type="TxLink">
            <a:rPr lang="en-US" sz="1200" b="0" i="0" u="none" strike="noStrike">
              <a:solidFill>
                <a:schemeClr val="bg1"/>
              </a:solidFill>
              <a:latin typeface="Aptos Narrow"/>
            </a:rPr>
            <a:pPr algn="ctr"/>
            <a:t>5510</a:t>
          </a:fld>
          <a:endParaRPr lang="en-IN" sz="1200">
            <a:solidFill>
              <a:schemeClr val="bg1"/>
            </a:solidFill>
          </a:endParaRPr>
        </a:p>
      </xdr:txBody>
    </xdr:sp>
    <xdr:clientData/>
  </xdr:twoCellAnchor>
  <xdr:twoCellAnchor>
    <xdr:from>
      <xdr:col>15</xdr:col>
      <xdr:colOff>188160</xdr:colOff>
      <xdr:row>6</xdr:row>
      <xdr:rowOff>157903</xdr:rowOff>
    </xdr:from>
    <xdr:to>
      <xdr:col>16</xdr:col>
      <xdr:colOff>496908</xdr:colOff>
      <xdr:row>8</xdr:row>
      <xdr:rowOff>156072</xdr:rowOff>
    </xdr:to>
    <xdr:sp macro="" textlink="Sheet1!J13">
      <xdr:nvSpPr>
        <xdr:cNvPr id="18" name="TextBox 17">
          <a:extLst>
            <a:ext uri="{FF2B5EF4-FFF2-40B4-BE49-F238E27FC236}">
              <a16:creationId xmlns:a16="http://schemas.microsoft.com/office/drawing/2014/main" id="{307C4A1A-72F9-4E71-9CC3-6EE176D5A25B}"/>
            </a:ext>
          </a:extLst>
        </xdr:cNvPr>
        <xdr:cNvSpPr txBox="1"/>
      </xdr:nvSpPr>
      <xdr:spPr>
        <a:xfrm>
          <a:off x="9277076" y="1259590"/>
          <a:ext cx="914675" cy="365398"/>
        </a:xfrm>
        <a:prstGeom prst="rect">
          <a:avLst/>
        </a:prstGeom>
        <a:gradFill>
          <a:gsLst>
            <a:gs pos="0">
              <a:schemeClr val="accent4">
                <a:lumMod val="50000"/>
              </a:schemeClr>
            </a:gs>
            <a:gs pos="74000">
              <a:schemeClr val="accent4">
                <a:lumMod val="75000"/>
              </a:schemeClr>
            </a:gs>
            <a:gs pos="83000">
              <a:schemeClr val="accent4">
                <a:lumMod val="75000"/>
              </a:schemeClr>
            </a:gs>
            <a:gs pos="24000">
              <a:schemeClr val="accent4">
                <a:lumMod val="75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512DADC-C190-452C-9ACE-B1A2C1AE0DDF}" type="TxLink">
            <a:rPr lang="en-US" sz="1200" b="0" i="0" u="none" strike="noStrike">
              <a:solidFill>
                <a:schemeClr val="bg1"/>
              </a:solidFill>
              <a:latin typeface="Aptos Narrow"/>
            </a:rPr>
            <a:pPr algn="ctr"/>
            <a:t>6972.7</a:t>
          </a:fld>
          <a:endParaRPr lang="en-IN" sz="1200">
            <a:solidFill>
              <a:schemeClr val="bg1"/>
            </a:solidFill>
          </a:endParaRPr>
        </a:p>
      </xdr:txBody>
    </xdr:sp>
    <xdr:clientData/>
  </xdr:twoCellAnchor>
  <xdr:twoCellAnchor>
    <xdr:from>
      <xdr:col>2</xdr:col>
      <xdr:colOff>388436</xdr:colOff>
      <xdr:row>9</xdr:row>
      <xdr:rowOff>128529</xdr:rowOff>
    </xdr:from>
    <xdr:to>
      <xdr:col>10</xdr:col>
      <xdr:colOff>302964</xdr:colOff>
      <xdr:row>19</xdr:row>
      <xdr:rowOff>183613</xdr:rowOff>
    </xdr:to>
    <xdr:graphicFrame macro="">
      <xdr:nvGraphicFramePr>
        <xdr:cNvPr id="19" name="Chart 18">
          <a:extLst>
            <a:ext uri="{FF2B5EF4-FFF2-40B4-BE49-F238E27FC236}">
              <a16:creationId xmlns:a16="http://schemas.microsoft.com/office/drawing/2014/main" id="{73AB03D5-FC4B-4D11-A6FE-8F705089F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371637</xdr:colOff>
      <xdr:row>20</xdr:row>
      <xdr:rowOff>45903</xdr:rowOff>
    </xdr:from>
    <xdr:to>
      <xdr:col>10</xdr:col>
      <xdr:colOff>293784</xdr:colOff>
      <xdr:row>33</xdr:row>
      <xdr:rowOff>110168</xdr:rowOff>
    </xdr:to>
    <xdr:graphicFrame macro="">
      <xdr:nvGraphicFramePr>
        <xdr:cNvPr id="20" name="Chart 19">
          <a:extLst>
            <a:ext uri="{FF2B5EF4-FFF2-40B4-BE49-F238E27FC236}">
              <a16:creationId xmlns:a16="http://schemas.microsoft.com/office/drawing/2014/main" id="{9B484906-4672-49E7-BF7F-8F7FD2920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317103</xdr:colOff>
      <xdr:row>9</xdr:row>
      <xdr:rowOff>128530</xdr:rowOff>
    </xdr:from>
    <xdr:to>
      <xdr:col>18</xdr:col>
      <xdr:colOff>339686</xdr:colOff>
      <xdr:row>20</xdr:row>
      <xdr:rowOff>55086</xdr:rowOff>
    </xdr:to>
    <xdr:graphicFrame macro="">
      <xdr:nvGraphicFramePr>
        <xdr:cNvPr id="21" name="Chart 20">
          <a:extLst>
            <a:ext uri="{FF2B5EF4-FFF2-40B4-BE49-F238E27FC236}">
              <a16:creationId xmlns:a16="http://schemas.microsoft.com/office/drawing/2014/main" id="{C08538B3-490F-4C06-A878-5BE42935F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431493</xdr:colOff>
      <xdr:row>10</xdr:row>
      <xdr:rowOff>110168</xdr:rowOff>
    </xdr:from>
    <xdr:to>
      <xdr:col>27</xdr:col>
      <xdr:colOff>110167</xdr:colOff>
      <xdr:row>20</xdr:row>
      <xdr:rowOff>146892</xdr:rowOff>
    </xdr:to>
    <xdr:graphicFrame macro="">
      <xdr:nvGraphicFramePr>
        <xdr:cNvPr id="22" name="Chart 21">
          <a:extLst>
            <a:ext uri="{FF2B5EF4-FFF2-40B4-BE49-F238E27FC236}">
              <a16:creationId xmlns:a16="http://schemas.microsoft.com/office/drawing/2014/main" id="{188C1C77-D262-4ABE-848B-468A4977A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459036</xdr:colOff>
      <xdr:row>21</xdr:row>
      <xdr:rowOff>9180</xdr:rowOff>
    </xdr:from>
    <xdr:to>
      <xdr:col>27</xdr:col>
      <xdr:colOff>64266</xdr:colOff>
      <xdr:row>33</xdr:row>
      <xdr:rowOff>36723</xdr:rowOff>
    </xdr:to>
    <xdr:graphicFrame macro="">
      <xdr:nvGraphicFramePr>
        <xdr:cNvPr id="24" name="Chart 23">
          <a:extLst>
            <a:ext uri="{FF2B5EF4-FFF2-40B4-BE49-F238E27FC236}">
              <a16:creationId xmlns:a16="http://schemas.microsoft.com/office/drawing/2014/main" id="{8CE088C3-0BAE-4EBE-9380-CCEBB8241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339687</xdr:colOff>
      <xdr:row>20</xdr:row>
      <xdr:rowOff>91807</xdr:rowOff>
    </xdr:from>
    <xdr:to>
      <xdr:col>18</xdr:col>
      <xdr:colOff>358049</xdr:colOff>
      <xdr:row>33</xdr:row>
      <xdr:rowOff>18361</xdr:rowOff>
    </xdr:to>
    <xdr:graphicFrame macro="">
      <xdr:nvGraphicFramePr>
        <xdr:cNvPr id="25" name="Chart 24">
          <a:extLst>
            <a:ext uri="{FF2B5EF4-FFF2-40B4-BE49-F238E27FC236}">
              <a16:creationId xmlns:a16="http://schemas.microsoft.com/office/drawing/2014/main" id="{612CB906-16B7-4050-A155-9DD47CA91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27542</xdr:colOff>
      <xdr:row>4</xdr:row>
      <xdr:rowOff>91808</xdr:rowOff>
    </xdr:from>
    <xdr:to>
      <xdr:col>2</xdr:col>
      <xdr:colOff>330508</xdr:colOff>
      <xdr:row>11</xdr:row>
      <xdr:rowOff>119349</xdr:rowOff>
    </xdr:to>
    <mc:AlternateContent xmlns:mc="http://schemas.openxmlformats.org/markup-compatibility/2006" xmlns:a14="http://schemas.microsoft.com/office/drawing/2010/main">
      <mc:Choice Requires="a14">
        <xdr:graphicFrame macro="">
          <xdr:nvGraphicFramePr>
            <xdr:cNvPr id="26" name="Payment">
              <a:extLst>
                <a:ext uri="{FF2B5EF4-FFF2-40B4-BE49-F238E27FC236}">
                  <a16:creationId xmlns:a16="http://schemas.microsoft.com/office/drawing/2014/main" id="{CE0C7BE2-2D03-4192-A91A-A603ABF8EBC8}"/>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27542" y="826266"/>
              <a:ext cx="1514821" cy="1312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36722</xdr:colOff>
      <xdr:row>12</xdr:row>
      <xdr:rowOff>2389</xdr:rowOff>
    </xdr:from>
    <xdr:to>
      <xdr:col>2</xdr:col>
      <xdr:colOff>330506</xdr:colOff>
      <xdr:row>19</xdr:row>
      <xdr:rowOff>64265</xdr:rowOff>
    </xdr:to>
    <mc:AlternateContent xmlns:mc="http://schemas.openxmlformats.org/markup-compatibility/2006" xmlns:a14="http://schemas.microsoft.com/office/drawing/2010/main">
      <mc:Choice Requires="a14">
        <xdr:graphicFrame macro="">
          <xdr:nvGraphicFramePr>
            <xdr:cNvPr id="27" name="Branch">
              <a:extLst>
                <a:ext uri="{FF2B5EF4-FFF2-40B4-BE49-F238E27FC236}">
                  <a16:creationId xmlns:a16="http://schemas.microsoft.com/office/drawing/2014/main" id="{BD8F4171-3D89-4A6E-8274-76310956D009}"/>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36722" y="2205762"/>
              <a:ext cx="1505639" cy="1347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55084</xdr:colOff>
      <xdr:row>26</xdr:row>
      <xdr:rowOff>128530</xdr:rowOff>
    </xdr:from>
    <xdr:to>
      <xdr:col>2</xdr:col>
      <xdr:colOff>330506</xdr:colOff>
      <xdr:row>33</xdr:row>
      <xdr:rowOff>156073</xdr:rowOff>
    </xdr:to>
    <mc:AlternateContent xmlns:mc="http://schemas.openxmlformats.org/markup-compatibility/2006" xmlns:a14="http://schemas.microsoft.com/office/drawing/2010/main">
      <mc:Choice Requires="a14">
        <xdr:graphicFrame macro="">
          <xdr:nvGraphicFramePr>
            <xdr:cNvPr id="30" name="City">
              <a:extLst>
                <a:ext uri="{FF2B5EF4-FFF2-40B4-BE49-F238E27FC236}">
                  <a16:creationId xmlns:a16="http://schemas.microsoft.com/office/drawing/2014/main" id="{DF7F97E1-D151-49FC-AE73-5AD17938AD8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5084" y="4902506"/>
              <a:ext cx="1487277" cy="1312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321326</xdr:colOff>
      <xdr:row>4</xdr:row>
      <xdr:rowOff>36724</xdr:rowOff>
    </xdr:from>
    <xdr:to>
      <xdr:col>27</xdr:col>
      <xdr:colOff>137713</xdr:colOff>
      <xdr:row>10</xdr:row>
      <xdr:rowOff>55085</xdr:rowOff>
    </xdr:to>
    <mc:AlternateContent xmlns:mc="http://schemas.openxmlformats.org/markup-compatibility/2006" xmlns:tsle="http://schemas.microsoft.com/office/drawing/2012/timeslicer">
      <mc:Choice Requires="tsle">
        <xdr:graphicFrame macro="">
          <xdr:nvGraphicFramePr>
            <xdr:cNvPr id="29" name="Date">
              <a:extLst>
                <a:ext uri="{FF2B5EF4-FFF2-40B4-BE49-F238E27FC236}">
                  <a16:creationId xmlns:a16="http://schemas.microsoft.com/office/drawing/2014/main" id="{CC4EE7FF-8BA9-435D-867B-0A83D1776F4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228025" y="771182"/>
              <a:ext cx="5269736" cy="11200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45904</xdr:colOff>
      <xdr:row>19</xdr:row>
      <xdr:rowOff>137712</xdr:rowOff>
    </xdr:from>
    <xdr:to>
      <xdr:col>2</xdr:col>
      <xdr:colOff>348867</xdr:colOff>
      <xdr:row>26</xdr:row>
      <xdr:rowOff>100988</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2B372BBE-BC8B-438E-AE04-25F6B77CFA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5904" y="3626387"/>
              <a:ext cx="1514818" cy="1248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iga surendran" refreshedDate="45990.844874768518" createdVersion="8" refreshedVersion="8" minRefreshableVersion="3" recordCount="1000" xr:uid="{1361F566-C495-46A1-A0C2-C5EF44F1CC02}">
  <cacheSource type="worksheet">
    <worksheetSource ref="A1:Q1001" sheet="supermarket_sales"/>
  </cacheSource>
  <cacheFields count="18">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7"/>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s>
  <extLst>
    <ext xmlns:x14="http://schemas.microsoft.com/office/spreadsheetml/2009/9/main" uri="{725AE2AE-9491-48be-B2B4-4EB974FC3084}">
      <x14:pivotCacheDefinition pivotCacheId="9606496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s v="Member"/>
    <x v="0"/>
    <x v="0"/>
    <n v="74.69"/>
    <n v="7"/>
    <n v="26.141500000000001"/>
    <n v="548.97149999999999"/>
    <x v="0"/>
    <d v="1899-12-30T13:08:00"/>
    <x v="0"/>
    <n v="522.83000000000004"/>
    <n v="4.7619047620000003"/>
    <n v="26.141500000000001"/>
    <n v="9.1"/>
  </r>
  <r>
    <s v="226-31-3081"/>
    <x v="1"/>
    <x v="1"/>
    <s v="Normal"/>
    <x v="0"/>
    <x v="1"/>
    <n v="15.28"/>
    <n v="5"/>
    <n v="3.82"/>
    <n v="80.22"/>
    <x v="1"/>
    <d v="1899-12-30T10:29:00"/>
    <x v="1"/>
    <n v="76.400000000000006"/>
    <n v="4.7619047620000003"/>
    <n v="3.82"/>
    <n v="9.6"/>
  </r>
  <r>
    <s v="631-41-3108"/>
    <x v="0"/>
    <x v="0"/>
    <s v="Normal"/>
    <x v="1"/>
    <x v="2"/>
    <n v="46.33"/>
    <n v="7"/>
    <n v="16.215499999999999"/>
    <n v="340.52550000000002"/>
    <x v="2"/>
    <d v="1899-12-30T13:23:00"/>
    <x v="2"/>
    <n v="324.31"/>
    <n v="4.7619047620000003"/>
    <n v="16.215499999999999"/>
    <n v="7.4"/>
  </r>
  <r>
    <s v="123-19-1176"/>
    <x v="0"/>
    <x v="0"/>
    <s v="Member"/>
    <x v="1"/>
    <x v="0"/>
    <n v="58.22"/>
    <n v="8"/>
    <n v="23.288"/>
    <n v="489.048"/>
    <x v="3"/>
    <d v="1899-12-30T20:33:00"/>
    <x v="0"/>
    <n v="465.76"/>
    <n v="4.7619047620000003"/>
    <n v="23.288"/>
    <n v="8.4"/>
  </r>
  <r>
    <s v="373-73-7910"/>
    <x v="0"/>
    <x v="0"/>
    <s v="Normal"/>
    <x v="1"/>
    <x v="3"/>
    <n v="86.31"/>
    <n v="7"/>
    <n v="30.208500000000001"/>
    <n v="634.37850000000003"/>
    <x v="4"/>
    <d v="1899-12-30T10:37:00"/>
    <x v="0"/>
    <n v="604.16999999999996"/>
    <n v="4.7619047620000003"/>
    <n v="30.208500000000001"/>
    <n v="5.3"/>
  </r>
  <r>
    <s v="699-14-3026"/>
    <x v="1"/>
    <x v="1"/>
    <s v="Normal"/>
    <x v="1"/>
    <x v="1"/>
    <n v="85.39"/>
    <n v="7"/>
    <n v="29.886500000000002"/>
    <n v="627.61649999999997"/>
    <x v="5"/>
    <d v="1899-12-30T18:30:00"/>
    <x v="0"/>
    <n v="597.73"/>
    <n v="4.7619047620000003"/>
    <n v="29.886500000000002"/>
    <n v="4.0999999999999996"/>
  </r>
  <r>
    <s v="355-53-5943"/>
    <x v="0"/>
    <x v="0"/>
    <s v="Member"/>
    <x v="0"/>
    <x v="1"/>
    <n v="68.84"/>
    <n v="6"/>
    <n v="20.652000000000001"/>
    <n v="433.69200000000001"/>
    <x v="6"/>
    <d v="1899-12-30T14:36:00"/>
    <x v="0"/>
    <n v="413.04"/>
    <n v="4.7619047620000003"/>
    <n v="20.652000000000001"/>
    <n v="5.8"/>
  </r>
  <r>
    <s v="315-22-5665"/>
    <x v="1"/>
    <x v="1"/>
    <s v="Normal"/>
    <x v="0"/>
    <x v="2"/>
    <n v="73.56"/>
    <n v="10"/>
    <n v="36.78"/>
    <n v="772.38"/>
    <x v="7"/>
    <d v="1899-12-30T11:38:00"/>
    <x v="0"/>
    <n v="735.6"/>
    <n v="4.7619047620000003"/>
    <n v="36.78"/>
    <n v="8"/>
  </r>
  <r>
    <s v="665-32-9167"/>
    <x v="0"/>
    <x v="0"/>
    <s v="Member"/>
    <x v="0"/>
    <x v="0"/>
    <n v="36.26"/>
    <n v="2"/>
    <n v="3.6259999999999999"/>
    <n v="76.146000000000001"/>
    <x v="8"/>
    <d v="1899-12-30T17:15:00"/>
    <x v="2"/>
    <n v="72.52"/>
    <n v="4.7619047620000003"/>
    <n v="3.6259999999999999"/>
    <n v="7.2"/>
  </r>
  <r>
    <s v="692-92-5582"/>
    <x v="2"/>
    <x v="2"/>
    <s v="Member"/>
    <x v="0"/>
    <x v="4"/>
    <n v="54.84"/>
    <n v="3"/>
    <n v="8.2260000000000009"/>
    <n v="172.74600000000001"/>
    <x v="9"/>
    <d v="1899-12-30T13:27:00"/>
    <x v="2"/>
    <n v="164.52"/>
    <n v="4.7619047620000003"/>
    <n v="8.2260000000000009"/>
    <n v="5.9"/>
  </r>
  <r>
    <s v="351-62-0822"/>
    <x v="2"/>
    <x v="2"/>
    <s v="Member"/>
    <x v="0"/>
    <x v="5"/>
    <n v="14.48"/>
    <n v="4"/>
    <n v="2.8959999999999999"/>
    <n v="60.816000000000003"/>
    <x v="10"/>
    <d v="1899-12-30T18:07:00"/>
    <x v="0"/>
    <n v="57.92"/>
    <n v="4.7619047620000003"/>
    <n v="2.8959999999999999"/>
    <n v="4.5"/>
  </r>
  <r>
    <s v="529-56-3974"/>
    <x v="2"/>
    <x v="2"/>
    <s v="Member"/>
    <x v="1"/>
    <x v="1"/>
    <n v="25.51"/>
    <n v="4"/>
    <n v="5.1020000000000003"/>
    <n v="107.142"/>
    <x v="11"/>
    <d v="1899-12-30T17:03:00"/>
    <x v="1"/>
    <n v="102.04"/>
    <n v="4.7619047620000003"/>
    <n v="5.1020000000000003"/>
    <n v="6.8"/>
  </r>
  <r>
    <s v="365-64-0515"/>
    <x v="0"/>
    <x v="0"/>
    <s v="Normal"/>
    <x v="0"/>
    <x v="1"/>
    <n v="46.95"/>
    <n v="5"/>
    <n v="11.737500000000001"/>
    <n v="246.48750000000001"/>
    <x v="12"/>
    <d v="1899-12-30T10:25:00"/>
    <x v="0"/>
    <n v="234.75"/>
    <n v="4.7619047620000003"/>
    <n v="11.737500000000001"/>
    <n v="7.1"/>
  </r>
  <r>
    <s v="252-56-2699"/>
    <x v="0"/>
    <x v="0"/>
    <s v="Normal"/>
    <x v="1"/>
    <x v="4"/>
    <n v="43.19"/>
    <n v="10"/>
    <n v="21.594999999999999"/>
    <n v="453.495"/>
    <x v="13"/>
    <d v="1899-12-30T16:48:00"/>
    <x v="0"/>
    <n v="431.9"/>
    <n v="4.7619047620000003"/>
    <n v="21.594999999999999"/>
    <n v="8.1999999999999993"/>
  </r>
  <r>
    <s v="829-34-3910"/>
    <x v="0"/>
    <x v="0"/>
    <s v="Normal"/>
    <x v="0"/>
    <x v="0"/>
    <n v="71.38"/>
    <n v="10"/>
    <n v="35.69"/>
    <n v="749.49"/>
    <x v="14"/>
    <d v="1899-12-30T19:21:00"/>
    <x v="1"/>
    <n v="713.8"/>
    <n v="4.7619047620000003"/>
    <n v="35.69"/>
    <n v="5.7"/>
  </r>
  <r>
    <s v="299-46-1805"/>
    <x v="2"/>
    <x v="2"/>
    <s v="Member"/>
    <x v="0"/>
    <x v="3"/>
    <n v="93.72"/>
    <n v="6"/>
    <n v="28.116"/>
    <n v="590.43600000000004"/>
    <x v="15"/>
    <d v="1899-12-30T16:19:00"/>
    <x v="1"/>
    <n v="562.32000000000005"/>
    <n v="4.7619047620000003"/>
    <n v="28.116"/>
    <n v="4.5"/>
  </r>
  <r>
    <s v="656-95-9349"/>
    <x v="0"/>
    <x v="0"/>
    <s v="Member"/>
    <x v="0"/>
    <x v="0"/>
    <n v="68.930000000000007"/>
    <n v="7"/>
    <n v="24.125499999999999"/>
    <n v="506.63549999999998"/>
    <x v="16"/>
    <d v="1899-12-30T11:03:00"/>
    <x v="2"/>
    <n v="482.51"/>
    <n v="4.7619047620000003"/>
    <n v="24.125499999999999"/>
    <n v="4.5999999999999996"/>
  </r>
  <r>
    <s v="765-26-6951"/>
    <x v="0"/>
    <x v="0"/>
    <s v="Normal"/>
    <x v="1"/>
    <x v="3"/>
    <n v="72.61"/>
    <n v="6"/>
    <n v="21.783000000000001"/>
    <n v="457.44299999999998"/>
    <x v="17"/>
    <d v="1899-12-30T10:39:00"/>
    <x v="2"/>
    <n v="435.66"/>
    <n v="4.7619047620000003"/>
    <n v="21.783000000000001"/>
    <n v="6.9"/>
  </r>
  <r>
    <s v="329-62-1586"/>
    <x v="0"/>
    <x v="0"/>
    <s v="Normal"/>
    <x v="1"/>
    <x v="4"/>
    <n v="54.67"/>
    <n v="3"/>
    <n v="8.2004999999999999"/>
    <n v="172.2105"/>
    <x v="18"/>
    <d v="1899-12-30T18:00:00"/>
    <x v="2"/>
    <n v="164.01"/>
    <n v="4.7619047620000003"/>
    <n v="8.2004999999999999"/>
    <n v="8.6"/>
  </r>
  <r>
    <s v="319-50-3348"/>
    <x v="2"/>
    <x v="2"/>
    <s v="Normal"/>
    <x v="0"/>
    <x v="2"/>
    <n v="40.299999999999997"/>
    <n v="2"/>
    <n v="4.03"/>
    <n v="84.63"/>
    <x v="16"/>
    <d v="1899-12-30T15:30:00"/>
    <x v="0"/>
    <n v="80.599999999999994"/>
    <n v="4.7619047620000003"/>
    <n v="4.03"/>
    <n v="4.4000000000000004"/>
  </r>
  <r>
    <s v="300-71-4605"/>
    <x v="1"/>
    <x v="1"/>
    <s v="Member"/>
    <x v="1"/>
    <x v="1"/>
    <n v="86.04"/>
    <n v="5"/>
    <n v="21.51"/>
    <n v="451.71"/>
    <x v="6"/>
    <d v="1899-12-30T11:24:00"/>
    <x v="0"/>
    <n v="430.2"/>
    <n v="4.7619047620000003"/>
    <n v="21.51"/>
    <n v="4.8"/>
  </r>
  <r>
    <s v="371-85-5789"/>
    <x v="2"/>
    <x v="2"/>
    <s v="Normal"/>
    <x v="1"/>
    <x v="0"/>
    <n v="87.98"/>
    <n v="3"/>
    <n v="13.196999999999999"/>
    <n v="277.137"/>
    <x v="19"/>
    <d v="1899-12-30T10:40:00"/>
    <x v="0"/>
    <n v="263.94"/>
    <n v="4.7619047620000003"/>
    <n v="13.196999999999999"/>
    <n v="5.0999999999999996"/>
  </r>
  <r>
    <s v="273-16-6619"/>
    <x v="2"/>
    <x v="2"/>
    <s v="Normal"/>
    <x v="1"/>
    <x v="2"/>
    <n v="33.200000000000003"/>
    <n v="2"/>
    <n v="3.32"/>
    <n v="69.72"/>
    <x v="20"/>
    <d v="1899-12-30T12:20:00"/>
    <x v="2"/>
    <n v="66.400000000000006"/>
    <n v="4.7619047620000003"/>
    <n v="3.32"/>
    <n v="4.4000000000000004"/>
  </r>
  <r>
    <s v="636-48-8204"/>
    <x v="0"/>
    <x v="0"/>
    <s v="Normal"/>
    <x v="1"/>
    <x v="1"/>
    <n v="34.56"/>
    <n v="5"/>
    <n v="8.64"/>
    <n v="181.44"/>
    <x v="21"/>
    <d v="1899-12-30T11:15:00"/>
    <x v="0"/>
    <n v="172.8"/>
    <n v="4.7619047620000003"/>
    <n v="8.64"/>
    <n v="9.9"/>
  </r>
  <r>
    <s v="549-59-1358"/>
    <x v="0"/>
    <x v="0"/>
    <s v="Member"/>
    <x v="1"/>
    <x v="3"/>
    <n v="88.63"/>
    <n v="3"/>
    <n v="13.294499999999999"/>
    <n v="279.18450000000001"/>
    <x v="22"/>
    <d v="1899-12-30T17:36:00"/>
    <x v="0"/>
    <n v="265.89"/>
    <n v="4.7619047620000003"/>
    <n v="13.294499999999999"/>
    <n v="6"/>
  </r>
  <r>
    <s v="227-03-5010"/>
    <x v="0"/>
    <x v="0"/>
    <s v="Member"/>
    <x v="0"/>
    <x v="2"/>
    <n v="52.59"/>
    <n v="8"/>
    <n v="21.036000000000001"/>
    <n v="441.75599999999997"/>
    <x v="23"/>
    <d v="1899-12-30T19:20:00"/>
    <x v="2"/>
    <n v="420.72"/>
    <n v="4.7619047620000003"/>
    <n v="21.036000000000001"/>
    <n v="8.5"/>
  </r>
  <r>
    <s v="649-29-6775"/>
    <x v="2"/>
    <x v="2"/>
    <s v="Normal"/>
    <x v="1"/>
    <x v="5"/>
    <n v="33.520000000000003"/>
    <n v="1"/>
    <n v="1.6759999999999999"/>
    <n v="35.195999999999998"/>
    <x v="4"/>
    <d v="1899-12-30T15:31:00"/>
    <x v="1"/>
    <n v="33.520000000000003"/>
    <n v="4.7619047620000003"/>
    <n v="1.6759999999999999"/>
    <n v="6.7"/>
  </r>
  <r>
    <s v="189-17-4241"/>
    <x v="0"/>
    <x v="0"/>
    <s v="Normal"/>
    <x v="0"/>
    <x v="5"/>
    <n v="87.67"/>
    <n v="2"/>
    <n v="8.7669999999999995"/>
    <n v="184.107"/>
    <x v="24"/>
    <d v="1899-12-30T12:17:00"/>
    <x v="2"/>
    <n v="175.34"/>
    <n v="4.7619047620000003"/>
    <n v="8.7669999999999995"/>
    <n v="7.7"/>
  </r>
  <r>
    <s v="145-94-9061"/>
    <x v="2"/>
    <x v="2"/>
    <s v="Normal"/>
    <x v="0"/>
    <x v="4"/>
    <n v="88.36"/>
    <n v="5"/>
    <n v="22.09"/>
    <n v="463.89"/>
    <x v="25"/>
    <d v="1899-12-30T19:48:00"/>
    <x v="1"/>
    <n v="441.8"/>
    <n v="4.7619047620000003"/>
    <n v="22.09"/>
    <n v="9.6"/>
  </r>
  <r>
    <s v="848-62-7243"/>
    <x v="0"/>
    <x v="0"/>
    <s v="Normal"/>
    <x v="1"/>
    <x v="0"/>
    <n v="24.89"/>
    <n v="9"/>
    <n v="11.2005"/>
    <n v="235.2105"/>
    <x v="20"/>
    <d v="1899-12-30T15:36:00"/>
    <x v="1"/>
    <n v="224.01"/>
    <n v="4.7619047620000003"/>
    <n v="11.2005"/>
    <n v="7.4"/>
  </r>
  <r>
    <s v="871-79-8483"/>
    <x v="2"/>
    <x v="2"/>
    <s v="Normal"/>
    <x v="1"/>
    <x v="5"/>
    <n v="94.13"/>
    <n v="5"/>
    <n v="23.532499999999999"/>
    <n v="494.1825"/>
    <x v="6"/>
    <d v="1899-12-30T19:39:00"/>
    <x v="2"/>
    <n v="470.65"/>
    <n v="4.7619047620000003"/>
    <n v="23.532499999999999"/>
    <n v="4.8"/>
  </r>
  <r>
    <s v="149-71-6266"/>
    <x v="2"/>
    <x v="2"/>
    <s v="Member"/>
    <x v="1"/>
    <x v="3"/>
    <n v="78.069999999999993"/>
    <n v="9"/>
    <n v="35.131500000000003"/>
    <n v="737.76149999999996"/>
    <x v="26"/>
    <d v="1899-12-30T12:43:00"/>
    <x v="1"/>
    <n v="702.63"/>
    <n v="4.7619047620000003"/>
    <n v="35.131500000000003"/>
    <n v="4.5"/>
  </r>
  <r>
    <s v="640-49-2076"/>
    <x v="2"/>
    <x v="2"/>
    <s v="Normal"/>
    <x v="1"/>
    <x v="3"/>
    <n v="83.78"/>
    <n v="8"/>
    <n v="33.512"/>
    <n v="703.75199999999995"/>
    <x v="8"/>
    <d v="1899-12-30T14:49:00"/>
    <x v="1"/>
    <n v="670.24"/>
    <n v="4.7619047620000003"/>
    <n v="33.512"/>
    <n v="5.0999999999999996"/>
  </r>
  <r>
    <s v="595-11-5460"/>
    <x v="0"/>
    <x v="0"/>
    <s v="Normal"/>
    <x v="1"/>
    <x v="0"/>
    <n v="96.58"/>
    <n v="2"/>
    <n v="9.6579999999999995"/>
    <n v="202.81800000000001"/>
    <x v="20"/>
    <d v="1899-12-30T10:12:00"/>
    <x v="2"/>
    <n v="193.16"/>
    <n v="4.7619047620000003"/>
    <n v="9.6579999999999995"/>
    <n v="5.0999999999999996"/>
  </r>
  <r>
    <s v="183-56-6882"/>
    <x v="1"/>
    <x v="1"/>
    <s v="Member"/>
    <x v="0"/>
    <x v="4"/>
    <n v="99.42"/>
    <n v="4"/>
    <n v="19.884"/>
    <n v="417.56400000000002"/>
    <x v="10"/>
    <d v="1899-12-30T10:42:00"/>
    <x v="0"/>
    <n v="397.68"/>
    <n v="4.7619047620000003"/>
    <n v="19.884"/>
    <n v="7.5"/>
  </r>
  <r>
    <s v="232-16-2483"/>
    <x v="1"/>
    <x v="1"/>
    <s v="Member"/>
    <x v="0"/>
    <x v="3"/>
    <n v="68.12"/>
    <n v="1"/>
    <n v="3.4060000000000001"/>
    <n v="71.525999999999996"/>
    <x v="27"/>
    <d v="1899-12-30T12:28:00"/>
    <x v="0"/>
    <n v="68.12"/>
    <n v="4.7619047620000003"/>
    <n v="3.4060000000000001"/>
    <n v="6.8"/>
  </r>
  <r>
    <s v="129-29-8530"/>
    <x v="0"/>
    <x v="0"/>
    <s v="Member"/>
    <x v="1"/>
    <x v="3"/>
    <n v="62.62"/>
    <n v="5"/>
    <n v="15.654999999999999"/>
    <n v="328.755"/>
    <x v="24"/>
    <d v="1899-12-30T19:15:00"/>
    <x v="0"/>
    <n v="313.10000000000002"/>
    <n v="4.7619047620000003"/>
    <n v="15.654999999999999"/>
    <n v="7"/>
  </r>
  <r>
    <s v="272-65-1806"/>
    <x v="0"/>
    <x v="0"/>
    <s v="Normal"/>
    <x v="0"/>
    <x v="1"/>
    <n v="60.88"/>
    <n v="9"/>
    <n v="27.396000000000001"/>
    <n v="575.31600000000003"/>
    <x v="15"/>
    <d v="1899-12-30T17:17:00"/>
    <x v="0"/>
    <n v="547.91999999999996"/>
    <n v="4.7619047620000003"/>
    <n v="27.396000000000001"/>
    <n v="4.7"/>
  </r>
  <r>
    <s v="333-73-7901"/>
    <x v="1"/>
    <x v="1"/>
    <s v="Normal"/>
    <x v="0"/>
    <x v="0"/>
    <n v="54.92"/>
    <n v="8"/>
    <n v="21.968"/>
    <n v="461.32799999999997"/>
    <x v="28"/>
    <d v="1899-12-30T13:24:00"/>
    <x v="0"/>
    <n v="439.36"/>
    <n v="4.7619047620000003"/>
    <n v="21.968"/>
    <n v="7.6"/>
  </r>
  <r>
    <s v="777-82-7220"/>
    <x v="2"/>
    <x v="2"/>
    <s v="Member"/>
    <x v="1"/>
    <x v="2"/>
    <n v="30.12"/>
    <n v="8"/>
    <n v="12.048"/>
    <n v="253.00800000000001"/>
    <x v="2"/>
    <d v="1899-12-30T13:01:00"/>
    <x v="1"/>
    <n v="240.96"/>
    <n v="4.7619047620000003"/>
    <n v="12.048"/>
    <n v="7.7"/>
  </r>
  <r>
    <s v="280-35-5823"/>
    <x v="2"/>
    <x v="2"/>
    <s v="Member"/>
    <x v="0"/>
    <x v="2"/>
    <n v="86.72"/>
    <n v="1"/>
    <n v="4.3360000000000003"/>
    <n v="91.055999999999997"/>
    <x v="29"/>
    <d v="1899-12-30T18:45:00"/>
    <x v="0"/>
    <n v="86.72"/>
    <n v="4.7619047620000003"/>
    <n v="4.3360000000000003"/>
    <n v="7.9"/>
  </r>
  <r>
    <s v="554-53-8700"/>
    <x v="1"/>
    <x v="1"/>
    <s v="Member"/>
    <x v="1"/>
    <x v="2"/>
    <n v="56.11"/>
    <n v="2"/>
    <n v="5.6109999999999998"/>
    <n v="117.831"/>
    <x v="30"/>
    <d v="1899-12-30T10:11:00"/>
    <x v="1"/>
    <n v="112.22"/>
    <n v="4.7619047620000003"/>
    <n v="5.6109999999999998"/>
    <n v="6.3"/>
  </r>
  <r>
    <s v="354-25-5821"/>
    <x v="2"/>
    <x v="2"/>
    <s v="Member"/>
    <x v="0"/>
    <x v="3"/>
    <n v="69.12"/>
    <n v="6"/>
    <n v="20.736000000000001"/>
    <n v="435.45600000000002"/>
    <x v="4"/>
    <d v="1899-12-30T13:03:00"/>
    <x v="1"/>
    <n v="414.72"/>
    <n v="4.7619047620000003"/>
    <n v="20.736000000000001"/>
    <n v="5.6"/>
  </r>
  <r>
    <s v="228-96-1411"/>
    <x v="1"/>
    <x v="1"/>
    <s v="Member"/>
    <x v="0"/>
    <x v="4"/>
    <n v="98.7"/>
    <n v="8"/>
    <n v="39.479999999999997"/>
    <n v="829.08"/>
    <x v="31"/>
    <d v="1899-12-30T20:39:00"/>
    <x v="1"/>
    <n v="789.6"/>
    <n v="4.7619047620000003"/>
    <n v="39.479999999999997"/>
    <n v="7.6"/>
  </r>
  <r>
    <s v="617-15-4209"/>
    <x v="1"/>
    <x v="1"/>
    <s v="Member"/>
    <x v="1"/>
    <x v="0"/>
    <n v="15.37"/>
    <n v="2"/>
    <n v="1.5369999999999999"/>
    <n v="32.277000000000001"/>
    <x v="32"/>
    <d v="1899-12-30T19:47:00"/>
    <x v="1"/>
    <n v="30.74"/>
    <n v="4.7619047620000003"/>
    <n v="1.5369999999999999"/>
    <n v="7.2"/>
  </r>
  <r>
    <s v="132-32-9879"/>
    <x v="2"/>
    <x v="2"/>
    <s v="Member"/>
    <x v="0"/>
    <x v="1"/>
    <n v="93.96"/>
    <n v="4"/>
    <n v="18.792000000000002"/>
    <n v="394.63200000000001"/>
    <x v="11"/>
    <d v="1899-12-30T18:00:00"/>
    <x v="1"/>
    <n v="375.84"/>
    <n v="4.7619047620000003"/>
    <n v="18.792000000000002"/>
    <n v="9.5"/>
  </r>
  <r>
    <s v="370-41-7321"/>
    <x v="2"/>
    <x v="2"/>
    <s v="Member"/>
    <x v="1"/>
    <x v="0"/>
    <n v="56.69"/>
    <n v="9"/>
    <n v="25.5105"/>
    <n v="535.72050000000002"/>
    <x v="33"/>
    <d v="1899-12-30T17:24:00"/>
    <x v="2"/>
    <n v="510.21"/>
    <n v="4.7619047620000003"/>
    <n v="25.5105"/>
    <n v="8.4"/>
  </r>
  <r>
    <s v="727-46-3608"/>
    <x v="2"/>
    <x v="2"/>
    <s v="Member"/>
    <x v="0"/>
    <x v="4"/>
    <n v="20.010000000000002"/>
    <n v="9"/>
    <n v="9.0045000000000002"/>
    <n v="189.09450000000001"/>
    <x v="10"/>
    <d v="1899-12-30T15:47:00"/>
    <x v="0"/>
    <n v="180.09"/>
    <n v="4.7619047620000003"/>
    <n v="9.0045000000000002"/>
    <n v="4.0999999999999996"/>
  </r>
  <r>
    <s v="669-54-1719"/>
    <x v="2"/>
    <x v="2"/>
    <s v="Member"/>
    <x v="1"/>
    <x v="1"/>
    <n v="18.93"/>
    <n v="6"/>
    <n v="5.6790000000000003"/>
    <n v="119.259"/>
    <x v="34"/>
    <d v="1899-12-30T12:45:00"/>
    <x v="2"/>
    <n v="113.58"/>
    <n v="4.7619047620000003"/>
    <n v="5.6790000000000003"/>
    <n v="8.1"/>
  </r>
  <r>
    <s v="574-22-5561"/>
    <x v="1"/>
    <x v="1"/>
    <s v="Member"/>
    <x v="0"/>
    <x v="5"/>
    <n v="82.63"/>
    <n v="10"/>
    <n v="41.314999999999998"/>
    <n v="867.61500000000001"/>
    <x v="35"/>
    <d v="1899-12-30T17:08:00"/>
    <x v="0"/>
    <n v="826.3"/>
    <n v="4.7619047620000003"/>
    <n v="41.314999999999998"/>
    <n v="7.9"/>
  </r>
  <r>
    <s v="326-78-5178"/>
    <x v="1"/>
    <x v="1"/>
    <s v="Member"/>
    <x v="1"/>
    <x v="4"/>
    <n v="91.4"/>
    <n v="7"/>
    <n v="31.99"/>
    <n v="671.79"/>
    <x v="36"/>
    <d v="1899-12-30T10:19:00"/>
    <x v="1"/>
    <n v="639.79999999999995"/>
    <n v="4.7619047620000003"/>
    <n v="31.99"/>
    <n v="9.5"/>
  </r>
  <r>
    <s v="162-48-8011"/>
    <x v="0"/>
    <x v="0"/>
    <s v="Member"/>
    <x v="0"/>
    <x v="4"/>
    <n v="44.59"/>
    <n v="5"/>
    <n v="11.147500000000001"/>
    <n v="234.0975"/>
    <x v="34"/>
    <d v="1899-12-30T15:10:00"/>
    <x v="1"/>
    <n v="222.95"/>
    <n v="4.7619047620000003"/>
    <n v="11.147500000000001"/>
    <n v="8.5"/>
  </r>
  <r>
    <s v="616-24-2851"/>
    <x v="2"/>
    <x v="2"/>
    <s v="Member"/>
    <x v="0"/>
    <x v="5"/>
    <n v="17.87"/>
    <n v="4"/>
    <n v="3.5739999999999998"/>
    <n v="75.054000000000002"/>
    <x v="23"/>
    <d v="1899-12-30T14:42:00"/>
    <x v="0"/>
    <n v="71.48"/>
    <n v="4.7619047620000003"/>
    <n v="3.5739999999999998"/>
    <n v="6.5"/>
  </r>
  <r>
    <s v="778-71-5554"/>
    <x v="1"/>
    <x v="1"/>
    <s v="Member"/>
    <x v="1"/>
    <x v="5"/>
    <n v="15.43"/>
    <n v="1"/>
    <n v="0.77149999999999996"/>
    <n v="16.201499999999999"/>
    <x v="25"/>
    <d v="1899-12-30T15:46:00"/>
    <x v="2"/>
    <n v="15.43"/>
    <n v="4.7619047620000003"/>
    <n v="0.77149999999999996"/>
    <n v="6.1"/>
  </r>
  <r>
    <s v="242-55-6721"/>
    <x v="2"/>
    <x v="2"/>
    <s v="Normal"/>
    <x v="1"/>
    <x v="2"/>
    <n v="16.16"/>
    <n v="2"/>
    <n v="1.6160000000000001"/>
    <n v="33.936"/>
    <x v="37"/>
    <d v="1899-12-30T11:49:00"/>
    <x v="0"/>
    <n v="32.32"/>
    <n v="4.7619047620000003"/>
    <n v="1.6160000000000001"/>
    <n v="6.5"/>
  </r>
  <r>
    <s v="399-46-5918"/>
    <x v="1"/>
    <x v="1"/>
    <s v="Normal"/>
    <x v="0"/>
    <x v="1"/>
    <n v="85.98"/>
    <n v="8"/>
    <n v="34.392000000000003"/>
    <n v="722.23199999999997"/>
    <x v="38"/>
    <d v="1899-12-30T19:01:00"/>
    <x v="1"/>
    <n v="687.84"/>
    <n v="4.7619047620000003"/>
    <n v="34.392000000000003"/>
    <n v="8.1999999999999993"/>
  </r>
  <r>
    <s v="106-35-6779"/>
    <x v="0"/>
    <x v="0"/>
    <s v="Member"/>
    <x v="1"/>
    <x v="2"/>
    <n v="44.34"/>
    <n v="2"/>
    <n v="4.4340000000000002"/>
    <n v="93.114000000000004"/>
    <x v="39"/>
    <d v="1899-12-30T11:26:00"/>
    <x v="1"/>
    <n v="88.68"/>
    <n v="4.7619047620000003"/>
    <n v="4.4340000000000002"/>
    <n v="5.8"/>
  </r>
  <r>
    <s v="635-40-6220"/>
    <x v="0"/>
    <x v="0"/>
    <s v="Normal"/>
    <x v="1"/>
    <x v="0"/>
    <n v="89.6"/>
    <n v="8"/>
    <n v="35.840000000000003"/>
    <n v="752.64"/>
    <x v="13"/>
    <d v="1899-12-30T11:28:00"/>
    <x v="0"/>
    <n v="716.8"/>
    <n v="4.7619047620000003"/>
    <n v="35.840000000000003"/>
    <n v="6.6"/>
  </r>
  <r>
    <s v="817-48-8732"/>
    <x v="0"/>
    <x v="0"/>
    <s v="Member"/>
    <x v="0"/>
    <x v="2"/>
    <n v="72.349999999999994"/>
    <n v="10"/>
    <n v="36.174999999999997"/>
    <n v="759.67499999999995"/>
    <x v="40"/>
    <d v="1899-12-30T15:55:00"/>
    <x v="1"/>
    <n v="723.5"/>
    <n v="4.7619047620000003"/>
    <n v="36.174999999999997"/>
    <n v="5.4"/>
  </r>
  <r>
    <s v="120-06-4233"/>
    <x v="1"/>
    <x v="1"/>
    <s v="Normal"/>
    <x v="1"/>
    <x v="1"/>
    <n v="30.61"/>
    <n v="6"/>
    <n v="9.1829999999999998"/>
    <n v="192.84299999999999"/>
    <x v="41"/>
    <d v="1899-12-30T20:36:00"/>
    <x v="1"/>
    <n v="183.66"/>
    <n v="4.7619047620000003"/>
    <n v="9.1829999999999998"/>
    <n v="9.3000000000000007"/>
  </r>
  <r>
    <s v="285-68-5083"/>
    <x v="1"/>
    <x v="1"/>
    <s v="Member"/>
    <x v="0"/>
    <x v="3"/>
    <n v="24.74"/>
    <n v="3"/>
    <n v="3.7109999999999999"/>
    <n v="77.930999999999997"/>
    <x v="42"/>
    <d v="1899-12-30T17:47:00"/>
    <x v="2"/>
    <n v="74.22"/>
    <n v="4.7619047620000003"/>
    <n v="3.7109999999999999"/>
    <n v="10"/>
  </r>
  <r>
    <s v="803-83-5989"/>
    <x v="1"/>
    <x v="1"/>
    <s v="Normal"/>
    <x v="1"/>
    <x v="2"/>
    <n v="55.73"/>
    <n v="6"/>
    <n v="16.719000000000001"/>
    <n v="351.09899999999999"/>
    <x v="7"/>
    <d v="1899-12-30T10:55:00"/>
    <x v="0"/>
    <n v="334.38"/>
    <n v="4.7619047620000003"/>
    <n v="16.719000000000001"/>
    <n v="7"/>
  </r>
  <r>
    <s v="347-34-2234"/>
    <x v="2"/>
    <x v="2"/>
    <s v="Member"/>
    <x v="0"/>
    <x v="3"/>
    <n v="55.07"/>
    <n v="9"/>
    <n v="24.781500000000001"/>
    <n v="520.41150000000005"/>
    <x v="36"/>
    <d v="1899-12-30T13:40:00"/>
    <x v="0"/>
    <n v="495.63"/>
    <n v="4.7619047620000003"/>
    <n v="24.781500000000001"/>
    <n v="10"/>
  </r>
  <r>
    <s v="199-75-8169"/>
    <x v="0"/>
    <x v="0"/>
    <s v="Member"/>
    <x v="1"/>
    <x v="3"/>
    <n v="15.81"/>
    <n v="10"/>
    <n v="7.9050000000000002"/>
    <n v="166.005"/>
    <x v="43"/>
    <d v="1899-12-30T12:27:00"/>
    <x v="2"/>
    <n v="158.1"/>
    <n v="4.7619047620000003"/>
    <n v="7.9050000000000002"/>
    <n v="8.6"/>
  </r>
  <r>
    <s v="853-23-2453"/>
    <x v="2"/>
    <x v="2"/>
    <s v="Member"/>
    <x v="1"/>
    <x v="0"/>
    <n v="75.739999999999995"/>
    <n v="4"/>
    <n v="15.148"/>
    <n v="318.108"/>
    <x v="44"/>
    <d v="1899-12-30T14:35:00"/>
    <x v="1"/>
    <n v="302.95999999999998"/>
    <n v="4.7619047620000003"/>
    <n v="15.148"/>
    <n v="7.6"/>
  </r>
  <r>
    <s v="877-22-3308"/>
    <x v="0"/>
    <x v="0"/>
    <s v="Member"/>
    <x v="1"/>
    <x v="0"/>
    <n v="15.87"/>
    <n v="10"/>
    <n v="7.9349999999999996"/>
    <n v="166.63499999999999"/>
    <x v="45"/>
    <d v="1899-12-30T16:40:00"/>
    <x v="1"/>
    <n v="158.69999999999999"/>
    <n v="4.7619047620000003"/>
    <n v="7.9349999999999996"/>
    <n v="5.8"/>
  </r>
  <r>
    <s v="838-78-4295"/>
    <x v="1"/>
    <x v="1"/>
    <s v="Normal"/>
    <x v="0"/>
    <x v="0"/>
    <n v="33.47"/>
    <n v="2"/>
    <n v="3.347"/>
    <n v="70.287000000000006"/>
    <x v="34"/>
    <d v="1899-12-30T15:43:00"/>
    <x v="0"/>
    <n v="66.94"/>
    <n v="4.7619047620000003"/>
    <n v="3.347"/>
    <n v="6.7"/>
  </r>
  <r>
    <s v="109-28-2512"/>
    <x v="2"/>
    <x v="2"/>
    <s v="Member"/>
    <x v="0"/>
    <x v="5"/>
    <n v="97.61"/>
    <n v="6"/>
    <n v="29.283000000000001"/>
    <n v="614.94299999999998"/>
    <x v="27"/>
    <d v="1899-12-30T15:01:00"/>
    <x v="0"/>
    <n v="585.66"/>
    <n v="4.7619047620000003"/>
    <n v="29.283000000000001"/>
    <n v="9.9"/>
  </r>
  <r>
    <s v="232-11-3025"/>
    <x v="0"/>
    <x v="0"/>
    <s v="Normal"/>
    <x v="1"/>
    <x v="3"/>
    <n v="78.77"/>
    <n v="10"/>
    <n v="39.384999999999998"/>
    <n v="827.08500000000004"/>
    <x v="46"/>
    <d v="1899-12-30T10:04:00"/>
    <x v="1"/>
    <n v="787.7"/>
    <n v="4.7619047620000003"/>
    <n v="39.384999999999998"/>
    <n v="6.4"/>
  </r>
  <r>
    <s v="382-03-4532"/>
    <x v="0"/>
    <x v="0"/>
    <s v="Member"/>
    <x v="0"/>
    <x v="0"/>
    <n v="18.329999999999998"/>
    <n v="1"/>
    <n v="0.91649999999999998"/>
    <n v="19.246500000000001"/>
    <x v="30"/>
    <d v="1899-12-30T18:50:00"/>
    <x v="1"/>
    <n v="18.329999999999998"/>
    <n v="4.7619047620000003"/>
    <n v="0.91649999999999998"/>
    <n v="4.3"/>
  </r>
  <r>
    <s v="393-65-2792"/>
    <x v="1"/>
    <x v="1"/>
    <s v="Normal"/>
    <x v="1"/>
    <x v="4"/>
    <n v="89.48"/>
    <n v="10"/>
    <n v="44.74"/>
    <n v="939.54"/>
    <x v="47"/>
    <d v="1899-12-30T12:46:00"/>
    <x v="2"/>
    <n v="894.8"/>
    <n v="4.7619047620000003"/>
    <n v="44.74"/>
    <n v="9.6"/>
  </r>
  <r>
    <s v="796-12-2025"/>
    <x v="1"/>
    <x v="1"/>
    <s v="Normal"/>
    <x v="1"/>
    <x v="5"/>
    <n v="62.12"/>
    <n v="10"/>
    <n v="31.06"/>
    <n v="652.26"/>
    <x v="48"/>
    <d v="1899-12-30T16:19:00"/>
    <x v="1"/>
    <n v="621.20000000000005"/>
    <n v="4.7619047620000003"/>
    <n v="31.06"/>
    <n v="5.9"/>
  </r>
  <r>
    <s v="510-95-6347"/>
    <x v="2"/>
    <x v="2"/>
    <s v="Member"/>
    <x v="0"/>
    <x v="4"/>
    <n v="48.52"/>
    <n v="3"/>
    <n v="7.2779999999999996"/>
    <n v="152.83799999999999"/>
    <x v="19"/>
    <d v="1899-12-30T18:17:00"/>
    <x v="0"/>
    <n v="145.56"/>
    <n v="4.7619047620000003"/>
    <n v="7.2779999999999996"/>
    <n v="4"/>
  </r>
  <r>
    <s v="841-35-6630"/>
    <x v="1"/>
    <x v="1"/>
    <s v="Normal"/>
    <x v="0"/>
    <x v="1"/>
    <n v="75.91"/>
    <n v="6"/>
    <n v="22.773"/>
    <n v="478.233"/>
    <x v="11"/>
    <d v="1899-12-30T18:21:00"/>
    <x v="1"/>
    <n v="455.46"/>
    <n v="4.7619047620000003"/>
    <n v="22.773"/>
    <n v="8.6999999999999993"/>
  </r>
  <r>
    <s v="287-21-9091"/>
    <x v="0"/>
    <x v="0"/>
    <s v="Normal"/>
    <x v="1"/>
    <x v="2"/>
    <n v="74.67"/>
    <n v="9"/>
    <n v="33.601500000000001"/>
    <n v="705.63149999999996"/>
    <x v="49"/>
    <d v="1899-12-30T10:55:00"/>
    <x v="0"/>
    <n v="672.03"/>
    <n v="4.7619047620000003"/>
    <n v="33.601500000000001"/>
    <n v="9.4"/>
  </r>
  <r>
    <s v="732-94-0499"/>
    <x v="1"/>
    <x v="1"/>
    <s v="Normal"/>
    <x v="0"/>
    <x v="1"/>
    <n v="41.65"/>
    <n v="10"/>
    <n v="20.824999999999999"/>
    <n v="437.32499999999999"/>
    <x v="50"/>
    <d v="1899-12-30T17:04:00"/>
    <x v="2"/>
    <n v="416.5"/>
    <n v="4.7619047620000003"/>
    <n v="20.824999999999999"/>
    <n v="5.4"/>
  </r>
  <r>
    <s v="263-10-3913"/>
    <x v="1"/>
    <x v="1"/>
    <s v="Member"/>
    <x v="1"/>
    <x v="5"/>
    <n v="49.04"/>
    <n v="9"/>
    <n v="22.068000000000001"/>
    <n v="463.428"/>
    <x v="51"/>
    <d v="1899-12-30T14:20:00"/>
    <x v="2"/>
    <n v="441.36"/>
    <n v="4.7619047620000003"/>
    <n v="22.068000000000001"/>
    <n v="8.6"/>
  </r>
  <r>
    <s v="381-20-0914"/>
    <x v="0"/>
    <x v="0"/>
    <s v="Member"/>
    <x v="0"/>
    <x v="5"/>
    <n v="20.010000000000002"/>
    <n v="9"/>
    <n v="9.0045000000000002"/>
    <n v="189.09450000000001"/>
    <x v="52"/>
    <d v="1899-12-30T15:48:00"/>
    <x v="2"/>
    <n v="180.09"/>
    <n v="4.7619047620000003"/>
    <n v="9.0045000000000002"/>
    <n v="5.7"/>
  </r>
  <r>
    <s v="829-49-1914"/>
    <x v="1"/>
    <x v="1"/>
    <s v="Member"/>
    <x v="0"/>
    <x v="4"/>
    <n v="78.31"/>
    <n v="10"/>
    <n v="39.155000000000001"/>
    <n v="822.255"/>
    <x v="19"/>
    <d v="1899-12-30T16:24:00"/>
    <x v="0"/>
    <n v="783.1"/>
    <n v="4.7619047620000003"/>
    <n v="39.155000000000001"/>
    <n v="6.6"/>
  </r>
  <r>
    <s v="756-01-7507"/>
    <x v="1"/>
    <x v="1"/>
    <s v="Normal"/>
    <x v="0"/>
    <x v="0"/>
    <n v="20.38"/>
    <n v="5"/>
    <n v="5.0949999999999998"/>
    <n v="106.995"/>
    <x v="49"/>
    <d v="1899-12-30T18:56:00"/>
    <x v="1"/>
    <n v="101.9"/>
    <n v="4.7619047620000003"/>
    <n v="5.0949999999999998"/>
    <n v="6"/>
  </r>
  <r>
    <s v="870-72-4431"/>
    <x v="1"/>
    <x v="1"/>
    <s v="Normal"/>
    <x v="0"/>
    <x v="0"/>
    <n v="99.19"/>
    <n v="6"/>
    <n v="29.757000000000001"/>
    <n v="624.89700000000005"/>
    <x v="18"/>
    <d v="1899-12-30T14:42:00"/>
    <x v="2"/>
    <n v="595.14"/>
    <n v="4.7619047620000003"/>
    <n v="29.757000000000001"/>
    <n v="5.5"/>
  </r>
  <r>
    <s v="847-38-7188"/>
    <x v="2"/>
    <x v="2"/>
    <s v="Normal"/>
    <x v="0"/>
    <x v="4"/>
    <n v="96.68"/>
    <n v="3"/>
    <n v="14.502000000000001"/>
    <n v="304.54199999999997"/>
    <x v="53"/>
    <d v="1899-12-30T19:56:00"/>
    <x v="0"/>
    <n v="290.04000000000002"/>
    <n v="4.7619047620000003"/>
    <n v="14.502000000000001"/>
    <n v="6.4"/>
  </r>
  <r>
    <s v="480-63-2856"/>
    <x v="1"/>
    <x v="1"/>
    <s v="Normal"/>
    <x v="1"/>
    <x v="4"/>
    <n v="19.25"/>
    <n v="8"/>
    <n v="7.7"/>
    <n v="161.69999999999999"/>
    <x v="54"/>
    <d v="1899-12-30T18:37:00"/>
    <x v="0"/>
    <n v="154"/>
    <n v="4.7619047620000003"/>
    <n v="7.7"/>
    <n v="6.6"/>
  </r>
  <r>
    <s v="787-56-0757"/>
    <x v="1"/>
    <x v="1"/>
    <s v="Member"/>
    <x v="0"/>
    <x v="4"/>
    <n v="80.36"/>
    <n v="4"/>
    <n v="16.071999999999999"/>
    <n v="337.512"/>
    <x v="55"/>
    <d v="1899-12-30T18:45:00"/>
    <x v="2"/>
    <n v="321.44"/>
    <n v="4.7619047620000003"/>
    <n v="16.071999999999999"/>
    <n v="8.3000000000000007"/>
  </r>
  <r>
    <s v="360-39-5055"/>
    <x v="1"/>
    <x v="1"/>
    <s v="Member"/>
    <x v="1"/>
    <x v="3"/>
    <n v="48.91"/>
    <n v="5"/>
    <n v="12.227499999999999"/>
    <n v="256.77749999999997"/>
    <x v="11"/>
    <d v="1899-12-30T10:17:00"/>
    <x v="1"/>
    <n v="244.55"/>
    <n v="4.7619047620000003"/>
    <n v="12.227499999999999"/>
    <n v="6.6"/>
  </r>
  <r>
    <s v="730-50-9884"/>
    <x v="1"/>
    <x v="1"/>
    <s v="Normal"/>
    <x v="0"/>
    <x v="3"/>
    <n v="83.06"/>
    <n v="7"/>
    <n v="29.071000000000002"/>
    <n v="610.49099999999999"/>
    <x v="19"/>
    <d v="1899-12-30T14:31:00"/>
    <x v="0"/>
    <n v="581.41999999999996"/>
    <n v="4.7619047620000003"/>
    <n v="29.071000000000002"/>
    <n v="4"/>
  </r>
  <r>
    <s v="362-58-8315"/>
    <x v="1"/>
    <x v="1"/>
    <s v="Normal"/>
    <x v="1"/>
    <x v="5"/>
    <n v="76.52"/>
    <n v="5"/>
    <n v="19.13"/>
    <n v="401.73"/>
    <x v="5"/>
    <d v="1899-12-30T10:23:00"/>
    <x v="1"/>
    <n v="382.6"/>
    <n v="4.7619047620000003"/>
    <n v="19.13"/>
    <n v="9.9"/>
  </r>
  <r>
    <s v="633-44-8566"/>
    <x v="0"/>
    <x v="0"/>
    <s v="Member"/>
    <x v="1"/>
    <x v="4"/>
    <n v="49.38"/>
    <n v="7"/>
    <n v="17.283000000000001"/>
    <n v="362.94299999999998"/>
    <x v="39"/>
    <d v="1899-12-30T20:35:00"/>
    <x v="2"/>
    <n v="345.66"/>
    <n v="4.7619047620000003"/>
    <n v="17.283000000000001"/>
    <n v="7.3"/>
  </r>
  <r>
    <s v="504-35-8843"/>
    <x v="0"/>
    <x v="0"/>
    <s v="Normal"/>
    <x v="1"/>
    <x v="3"/>
    <n v="42.47"/>
    <n v="1"/>
    <n v="2.1234999999999999"/>
    <n v="44.593499999999999"/>
    <x v="56"/>
    <d v="1899-12-30T16:57:00"/>
    <x v="1"/>
    <n v="42.47"/>
    <n v="4.7619047620000003"/>
    <n v="2.1234999999999999"/>
    <n v="5.7"/>
  </r>
  <r>
    <s v="318-68-5053"/>
    <x v="2"/>
    <x v="2"/>
    <s v="Normal"/>
    <x v="0"/>
    <x v="0"/>
    <n v="76.989999999999995"/>
    <n v="6"/>
    <n v="23.097000000000001"/>
    <n v="485.03699999999998"/>
    <x v="33"/>
    <d v="1899-12-30T17:55:00"/>
    <x v="1"/>
    <n v="461.94"/>
    <n v="4.7619047620000003"/>
    <n v="23.097000000000001"/>
    <n v="6.1"/>
  </r>
  <r>
    <s v="565-80-5980"/>
    <x v="1"/>
    <x v="1"/>
    <s v="Member"/>
    <x v="0"/>
    <x v="2"/>
    <n v="47.38"/>
    <n v="4"/>
    <n v="9.4760000000000009"/>
    <n v="198.99600000000001"/>
    <x v="54"/>
    <d v="1899-12-30T10:25:00"/>
    <x v="1"/>
    <n v="189.52"/>
    <n v="4.7619047620000003"/>
    <n v="9.4760000000000009"/>
    <n v="7.1"/>
  </r>
  <r>
    <s v="225-32-0908"/>
    <x v="1"/>
    <x v="1"/>
    <s v="Normal"/>
    <x v="0"/>
    <x v="3"/>
    <n v="44.86"/>
    <n v="10"/>
    <n v="22.43"/>
    <n v="471.03"/>
    <x v="53"/>
    <d v="1899-12-30T19:54:00"/>
    <x v="0"/>
    <n v="448.6"/>
    <n v="4.7619047620000003"/>
    <n v="22.43"/>
    <n v="8.1999999999999993"/>
  </r>
  <r>
    <s v="873-51-0671"/>
    <x v="0"/>
    <x v="0"/>
    <s v="Member"/>
    <x v="0"/>
    <x v="3"/>
    <n v="21.98"/>
    <n v="7"/>
    <n v="7.6929999999999996"/>
    <n v="161.553"/>
    <x v="8"/>
    <d v="1899-12-30T16:42:00"/>
    <x v="0"/>
    <n v="153.86000000000001"/>
    <n v="4.7619047620000003"/>
    <n v="7.6929999999999996"/>
    <n v="5.0999999999999996"/>
  </r>
  <r>
    <s v="152-08-9985"/>
    <x v="2"/>
    <x v="2"/>
    <s v="Member"/>
    <x v="1"/>
    <x v="0"/>
    <n v="64.36"/>
    <n v="9"/>
    <n v="28.962"/>
    <n v="608.202"/>
    <x v="41"/>
    <d v="1899-12-30T12:09:00"/>
    <x v="2"/>
    <n v="579.24"/>
    <n v="4.7619047620000003"/>
    <n v="28.962"/>
    <n v="8.6"/>
  </r>
  <r>
    <s v="512-91-0811"/>
    <x v="1"/>
    <x v="1"/>
    <s v="Normal"/>
    <x v="1"/>
    <x v="0"/>
    <n v="89.75"/>
    <n v="1"/>
    <n v="4.4874999999999998"/>
    <n v="94.237499999999997"/>
    <x v="10"/>
    <d v="1899-12-30T20:05:00"/>
    <x v="2"/>
    <n v="89.75"/>
    <n v="4.7619047620000003"/>
    <n v="4.4874999999999998"/>
    <n v="6.6"/>
  </r>
  <r>
    <s v="594-34-4444"/>
    <x v="0"/>
    <x v="0"/>
    <s v="Normal"/>
    <x v="1"/>
    <x v="1"/>
    <n v="97.16"/>
    <n v="1"/>
    <n v="4.8579999999999997"/>
    <n v="102.018"/>
    <x v="1"/>
    <d v="1899-12-30T20:38:00"/>
    <x v="0"/>
    <n v="97.16"/>
    <n v="4.7619047620000003"/>
    <n v="4.8579999999999997"/>
    <n v="7.2"/>
  </r>
  <r>
    <s v="766-85-7061"/>
    <x v="2"/>
    <x v="2"/>
    <s v="Normal"/>
    <x v="1"/>
    <x v="0"/>
    <n v="87.87"/>
    <n v="10"/>
    <n v="43.935000000000002"/>
    <n v="922.63499999999999"/>
    <x v="14"/>
    <d v="1899-12-30T10:25:00"/>
    <x v="0"/>
    <n v="878.7"/>
    <n v="4.7619047620000003"/>
    <n v="43.935000000000002"/>
    <n v="5.0999999999999996"/>
  </r>
  <r>
    <s v="871-39-9221"/>
    <x v="1"/>
    <x v="1"/>
    <s v="Normal"/>
    <x v="0"/>
    <x v="1"/>
    <n v="12.45"/>
    <n v="6"/>
    <n v="3.7349999999999999"/>
    <n v="78.435000000000002"/>
    <x v="57"/>
    <d v="1899-12-30T13:11:00"/>
    <x v="1"/>
    <n v="74.7"/>
    <n v="4.7619047620000003"/>
    <n v="3.7349999999999999"/>
    <n v="4.0999999999999996"/>
  </r>
  <r>
    <s v="865-92-6136"/>
    <x v="0"/>
    <x v="0"/>
    <s v="Normal"/>
    <x v="1"/>
    <x v="4"/>
    <n v="52.75"/>
    <n v="3"/>
    <n v="7.9124999999999996"/>
    <n v="166.16249999999999"/>
    <x v="28"/>
    <d v="1899-12-30T10:16:00"/>
    <x v="0"/>
    <n v="158.25"/>
    <n v="4.7619047620000003"/>
    <n v="7.9124999999999996"/>
    <n v="9.3000000000000007"/>
  </r>
  <r>
    <s v="733-01-9107"/>
    <x v="2"/>
    <x v="2"/>
    <s v="Normal"/>
    <x v="1"/>
    <x v="2"/>
    <n v="82.7"/>
    <n v="6"/>
    <n v="24.81"/>
    <n v="521.01"/>
    <x v="19"/>
    <d v="1899-12-30T18:14:00"/>
    <x v="1"/>
    <n v="496.2"/>
    <n v="4.7619047620000003"/>
    <n v="24.81"/>
    <n v="7.4"/>
  </r>
  <r>
    <s v="163-56-7055"/>
    <x v="1"/>
    <x v="1"/>
    <s v="Member"/>
    <x v="1"/>
    <x v="5"/>
    <n v="48.71"/>
    <n v="1"/>
    <n v="2.4355000000000002"/>
    <n v="51.145499999999998"/>
    <x v="58"/>
    <d v="1899-12-30T19:20:00"/>
    <x v="1"/>
    <n v="48.71"/>
    <n v="4.7619047620000003"/>
    <n v="2.4355000000000002"/>
    <n v="4.0999999999999996"/>
  </r>
  <r>
    <s v="189-98-2939"/>
    <x v="1"/>
    <x v="1"/>
    <s v="Normal"/>
    <x v="1"/>
    <x v="5"/>
    <n v="78.55"/>
    <n v="9"/>
    <n v="35.347499999999997"/>
    <n v="742.29750000000001"/>
    <x v="59"/>
    <d v="1899-12-30T13:22:00"/>
    <x v="1"/>
    <n v="706.95"/>
    <n v="4.7619047620000003"/>
    <n v="35.347499999999997"/>
    <n v="7.2"/>
  </r>
  <r>
    <s v="551-21-3069"/>
    <x v="1"/>
    <x v="1"/>
    <s v="Normal"/>
    <x v="0"/>
    <x v="1"/>
    <n v="23.07"/>
    <n v="9"/>
    <n v="10.381500000000001"/>
    <n v="218.01150000000001"/>
    <x v="60"/>
    <d v="1899-12-30T11:27:00"/>
    <x v="1"/>
    <n v="207.63"/>
    <n v="4.7619047620000003"/>
    <n v="10.381500000000001"/>
    <n v="4.9000000000000004"/>
  </r>
  <r>
    <s v="212-62-1842"/>
    <x v="0"/>
    <x v="0"/>
    <s v="Normal"/>
    <x v="1"/>
    <x v="4"/>
    <n v="58.26"/>
    <n v="6"/>
    <n v="17.478000000000002"/>
    <n v="367.03800000000001"/>
    <x v="61"/>
    <d v="1899-12-30T16:44:00"/>
    <x v="1"/>
    <n v="349.56"/>
    <n v="4.7619047620000003"/>
    <n v="17.478000000000002"/>
    <n v="9.9"/>
  </r>
  <r>
    <s v="716-39-1409"/>
    <x v="2"/>
    <x v="2"/>
    <s v="Normal"/>
    <x v="1"/>
    <x v="0"/>
    <n v="30.35"/>
    <n v="7"/>
    <n v="10.6225"/>
    <n v="223.07249999999999"/>
    <x v="35"/>
    <d v="1899-12-30T18:19:00"/>
    <x v="1"/>
    <n v="212.45"/>
    <n v="4.7619047620000003"/>
    <n v="10.6225"/>
    <n v="8"/>
  </r>
  <r>
    <s v="704-48-3927"/>
    <x v="0"/>
    <x v="0"/>
    <s v="Member"/>
    <x v="1"/>
    <x v="1"/>
    <n v="88.67"/>
    <n v="10"/>
    <n v="44.335000000000001"/>
    <n v="931.03499999999997"/>
    <x v="52"/>
    <d v="1899-12-30T14:50:00"/>
    <x v="0"/>
    <n v="886.7"/>
    <n v="4.7619047620000003"/>
    <n v="44.335000000000001"/>
    <n v="7.3"/>
  </r>
  <r>
    <s v="628-34-3388"/>
    <x v="1"/>
    <x v="1"/>
    <s v="Normal"/>
    <x v="1"/>
    <x v="5"/>
    <n v="27.38"/>
    <n v="6"/>
    <n v="8.2140000000000004"/>
    <n v="172.494"/>
    <x v="0"/>
    <d v="1899-12-30T20:54:00"/>
    <x v="2"/>
    <n v="164.28"/>
    <n v="4.7619047620000003"/>
    <n v="8.2140000000000004"/>
    <n v="7.9"/>
  </r>
  <r>
    <s v="630-74-5166"/>
    <x v="0"/>
    <x v="0"/>
    <s v="Normal"/>
    <x v="1"/>
    <x v="3"/>
    <n v="62.13"/>
    <n v="6"/>
    <n v="18.638999999999999"/>
    <n v="391.41899999999998"/>
    <x v="23"/>
    <d v="1899-12-30T20:19:00"/>
    <x v="1"/>
    <n v="372.78"/>
    <n v="4.7619047620000003"/>
    <n v="18.638999999999999"/>
    <n v="7.4"/>
  </r>
  <r>
    <s v="588-01-7461"/>
    <x v="1"/>
    <x v="1"/>
    <s v="Normal"/>
    <x v="0"/>
    <x v="4"/>
    <n v="33.979999999999997"/>
    <n v="9"/>
    <n v="15.291"/>
    <n v="321.11099999999999"/>
    <x v="62"/>
    <d v="1899-12-30T10:43:00"/>
    <x v="1"/>
    <n v="305.82"/>
    <n v="4.7619047620000003"/>
    <n v="15.291"/>
    <n v="4.2"/>
  </r>
  <r>
    <s v="861-77-0145"/>
    <x v="1"/>
    <x v="1"/>
    <s v="Member"/>
    <x v="1"/>
    <x v="1"/>
    <n v="81.97"/>
    <n v="10"/>
    <n v="40.984999999999999"/>
    <n v="860.68499999999995"/>
    <x v="2"/>
    <d v="1899-12-30T14:30:00"/>
    <x v="1"/>
    <n v="819.7"/>
    <n v="4.7619047620000003"/>
    <n v="40.984999999999999"/>
    <n v="9.1999999999999993"/>
  </r>
  <r>
    <s v="479-26-8945"/>
    <x v="2"/>
    <x v="2"/>
    <s v="Member"/>
    <x v="0"/>
    <x v="3"/>
    <n v="16.489999999999998"/>
    <n v="2"/>
    <n v="1.649"/>
    <n v="34.628999999999998"/>
    <x v="63"/>
    <d v="1899-12-30T11:32:00"/>
    <x v="0"/>
    <n v="32.979999999999997"/>
    <n v="4.7619047620000003"/>
    <n v="1.649"/>
    <n v="4.5999999999999996"/>
  </r>
  <r>
    <s v="210-67-5886"/>
    <x v="1"/>
    <x v="1"/>
    <s v="Member"/>
    <x v="0"/>
    <x v="0"/>
    <n v="98.21"/>
    <n v="3"/>
    <n v="14.7315"/>
    <n v="309.36149999999998"/>
    <x v="63"/>
    <d v="1899-12-30T10:41:00"/>
    <x v="2"/>
    <n v="294.63"/>
    <n v="4.7619047620000003"/>
    <n v="14.7315"/>
    <n v="7.8"/>
  </r>
  <r>
    <s v="227-78-1148"/>
    <x v="2"/>
    <x v="2"/>
    <s v="Normal"/>
    <x v="0"/>
    <x v="5"/>
    <n v="72.84"/>
    <n v="7"/>
    <n v="25.494"/>
    <n v="535.37400000000002"/>
    <x v="42"/>
    <d v="1899-12-30T12:44:00"/>
    <x v="1"/>
    <n v="509.88"/>
    <n v="4.7619047620000003"/>
    <n v="25.494"/>
    <n v="8.4"/>
  </r>
  <r>
    <s v="645-44-1170"/>
    <x v="0"/>
    <x v="0"/>
    <s v="Member"/>
    <x v="1"/>
    <x v="2"/>
    <n v="58.07"/>
    <n v="9"/>
    <n v="26.131499999999999"/>
    <n v="548.76149999999996"/>
    <x v="64"/>
    <d v="1899-12-30T20:07:00"/>
    <x v="0"/>
    <n v="522.63"/>
    <n v="4.7619047620000003"/>
    <n v="26.131499999999999"/>
    <n v="4.3"/>
  </r>
  <r>
    <s v="237-01-6122"/>
    <x v="1"/>
    <x v="1"/>
    <s v="Member"/>
    <x v="0"/>
    <x v="2"/>
    <n v="80.790000000000006"/>
    <n v="9"/>
    <n v="36.355499999999999"/>
    <n v="763.46550000000002"/>
    <x v="60"/>
    <d v="1899-12-30T20:31:00"/>
    <x v="2"/>
    <n v="727.11"/>
    <n v="4.7619047620000003"/>
    <n v="36.355499999999999"/>
    <n v="9.5"/>
  </r>
  <r>
    <s v="225-98-1496"/>
    <x v="1"/>
    <x v="1"/>
    <s v="Normal"/>
    <x v="0"/>
    <x v="5"/>
    <n v="27.02"/>
    <n v="3"/>
    <n v="4.0529999999999999"/>
    <n v="85.113"/>
    <x v="22"/>
    <d v="1899-12-30T13:01:00"/>
    <x v="2"/>
    <n v="81.06"/>
    <n v="4.7619047620000003"/>
    <n v="4.0529999999999999"/>
    <n v="7.1"/>
  </r>
  <r>
    <s v="291-32-1427"/>
    <x v="2"/>
    <x v="2"/>
    <s v="Member"/>
    <x v="1"/>
    <x v="5"/>
    <n v="21.94"/>
    <n v="5"/>
    <n v="5.4850000000000003"/>
    <n v="115.185"/>
    <x v="19"/>
    <d v="1899-12-30T12:29:00"/>
    <x v="0"/>
    <n v="109.7"/>
    <n v="4.7619047620000003"/>
    <n v="5.4850000000000003"/>
    <n v="5.3"/>
  </r>
  <r>
    <s v="659-65-8956"/>
    <x v="2"/>
    <x v="2"/>
    <s v="Member"/>
    <x v="1"/>
    <x v="5"/>
    <n v="51.36"/>
    <n v="1"/>
    <n v="2.5680000000000001"/>
    <n v="53.927999999999997"/>
    <x v="65"/>
    <d v="1899-12-30T15:26:00"/>
    <x v="0"/>
    <n v="51.36"/>
    <n v="4.7619047620000003"/>
    <n v="2.5680000000000001"/>
    <n v="5.2"/>
  </r>
  <r>
    <s v="642-32-2990"/>
    <x v="0"/>
    <x v="0"/>
    <s v="Normal"/>
    <x v="0"/>
    <x v="4"/>
    <n v="10.96"/>
    <n v="10"/>
    <n v="5.48"/>
    <n v="115.08"/>
    <x v="30"/>
    <d v="1899-12-30T20:48:00"/>
    <x v="0"/>
    <n v="109.6"/>
    <n v="4.7619047620000003"/>
    <n v="5.48"/>
    <n v="6"/>
  </r>
  <r>
    <s v="378-24-2715"/>
    <x v="2"/>
    <x v="2"/>
    <s v="Normal"/>
    <x v="1"/>
    <x v="2"/>
    <n v="53.44"/>
    <n v="2"/>
    <n v="5.3440000000000003"/>
    <n v="112.224"/>
    <x v="40"/>
    <d v="1899-12-30T20:38:00"/>
    <x v="0"/>
    <n v="106.88"/>
    <n v="4.7619047620000003"/>
    <n v="5.3440000000000003"/>
    <n v="4.0999999999999996"/>
  </r>
  <r>
    <s v="638-60-7125"/>
    <x v="0"/>
    <x v="0"/>
    <s v="Normal"/>
    <x v="0"/>
    <x v="1"/>
    <n v="99.56"/>
    <n v="8"/>
    <n v="39.823999999999998"/>
    <n v="836.30399999999997"/>
    <x v="44"/>
    <d v="1899-12-30T17:03:00"/>
    <x v="2"/>
    <n v="796.48"/>
    <n v="4.7619047620000003"/>
    <n v="39.823999999999998"/>
    <n v="5.2"/>
  </r>
  <r>
    <s v="659-36-1684"/>
    <x v="1"/>
    <x v="1"/>
    <s v="Member"/>
    <x v="1"/>
    <x v="3"/>
    <n v="57.12"/>
    <n v="7"/>
    <n v="19.992000000000001"/>
    <n v="419.83199999999999"/>
    <x v="52"/>
    <d v="1899-12-30T12:02:00"/>
    <x v="2"/>
    <n v="399.84"/>
    <n v="4.7619047620000003"/>
    <n v="19.992000000000001"/>
    <n v="6.5"/>
  </r>
  <r>
    <s v="219-22-9386"/>
    <x v="2"/>
    <x v="2"/>
    <s v="Member"/>
    <x v="1"/>
    <x v="3"/>
    <n v="99.96"/>
    <n v="9"/>
    <n v="44.981999999999999"/>
    <n v="944.62199999999996"/>
    <x v="11"/>
    <d v="1899-12-30T17:26:00"/>
    <x v="2"/>
    <n v="899.64"/>
    <n v="4.7619047620000003"/>
    <n v="44.981999999999999"/>
    <n v="4.2"/>
  </r>
  <r>
    <s v="336-78-2147"/>
    <x v="1"/>
    <x v="1"/>
    <s v="Member"/>
    <x v="1"/>
    <x v="2"/>
    <n v="63.91"/>
    <n v="8"/>
    <n v="25.564"/>
    <n v="536.84400000000005"/>
    <x v="45"/>
    <d v="1899-12-30T19:52:00"/>
    <x v="2"/>
    <n v="511.28"/>
    <n v="4.7619047620000003"/>
    <n v="25.564"/>
    <n v="4.5999999999999996"/>
  </r>
  <r>
    <s v="268-27-6179"/>
    <x v="2"/>
    <x v="2"/>
    <s v="Member"/>
    <x v="0"/>
    <x v="5"/>
    <n v="56.47"/>
    <n v="8"/>
    <n v="22.588000000000001"/>
    <n v="474.34800000000001"/>
    <x v="11"/>
    <d v="1899-12-30T14:57:00"/>
    <x v="0"/>
    <n v="451.76"/>
    <n v="4.7619047620000003"/>
    <n v="22.588000000000001"/>
    <n v="7.3"/>
  </r>
  <r>
    <s v="668-90-8900"/>
    <x v="0"/>
    <x v="0"/>
    <s v="Normal"/>
    <x v="0"/>
    <x v="2"/>
    <n v="93.69"/>
    <n v="7"/>
    <n v="32.791499999999999"/>
    <n v="688.62149999999997"/>
    <x v="24"/>
    <d v="1899-12-30T18:44:00"/>
    <x v="2"/>
    <n v="655.83"/>
    <n v="4.7619047620000003"/>
    <n v="32.791499999999999"/>
    <n v="4.5"/>
  </r>
  <r>
    <s v="870-54-3162"/>
    <x v="0"/>
    <x v="0"/>
    <s v="Normal"/>
    <x v="0"/>
    <x v="3"/>
    <n v="32.25"/>
    <n v="5"/>
    <n v="8.0625"/>
    <n v="169.3125"/>
    <x v="3"/>
    <d v="1899-12-30T13:26:00"/>
    <x v="1"/>
    <n v="161.25"/>
    <n v="4.7619047620000003"/>
    <n v="8.0625"/>
    <n v="9"/>
  </r>
  <r>
    <s v="189-08-9157"/>
    <x v="1"/>
    <x v="1"/>
    <s v="Normal"/>
    <x v="0"/>
    <x v="5"/>
    <n v="31.73"/>
    <n v="9"/>
    <n v="14.278499999999999"/>
    <n v="299.8485"/>
    <x v="66"/>
    <d v="1899-12-30T16:17:00"/>
    <x v="2"/>
    <n v="285.57"/>
    <n v="4.7619047620000003"/>
    <n v="14.278499999999999"/>
    <n v="5.9"/>
  </r>
  <r>
    <s v="663-86-9076"/>
    <x v="1"/>
    <x v="1"/>
    <s v="Member"/>
    <x v="0"/>
    <x v="4"/>
    <n v="68.540000000000006"/>
    <n v="8"/>
    <n v="27.416"/>
    <n v="575.73599999999999"/>
    <x v="66"/>
    <d v="1899-12-30T15:57:00"/>
    <x v="0"/>
    <n v="548.32000000000005"/>
    <n v="4.7619047620000003"/>
    <n v="27.416"/>
    <n v="8.5"/>
  </r>
  <r>
    <s v="549-84-7482"/>
    <x v="2"/>
    <x v="2"/>
    <s v="Normal"/>
    <x v="0"/>
    <x v="3"/>
    <n v="90.28"/>
    <n v="9"/>
    <n v="40.625999999999998"/>
    <n v="853.14599999999996"/>
    <x v="4"/>
    <d v="1899-12-30T11:15:00"/>
    <x v="0"/>
    <n v="812.52"/>
    <n v="4.7619047620000003"/>
    <n v="40.625999999999998"/>
    <n v="7.2"/>
  </r>
  <r>
    <s v="191-10-6171"/>
    <x v="2"/>
    <x v="2"/>
    <s v="Normal"/>
    <x v="0"/>
    <x v="5"/>
    <n v="39.619999999999997"/>
    <n v="7"/>
    <n v="13.867000000000001"/>
    <n v="291.20699999999999"/>
    <x v="25"/>
    <d v="1899-12-30T13:18:00"/>
    <x v="1"/>
    <n v="277.33999999999997"/>
    <n v="4.7619047620000003"/>
    <n v="13.867000000000001"/>
    <n v="7.5"/>
  </r>
  <r>
    <s v="802-70-5316"/>
    <x v="0"/>
    <x v="0"/>
    <s v="Member"/>
    <x v="0"/>
    <x v="3"/>
    <n v="92.13"/>
    <n v="6"/>
    <n v="27.638999999999999"/>
    <n v="580.41899999999998"/>
    <x v="43"/>
    <d v="1899-12-30T20:34:00"/>
    <x v="1"/>
    <n v="552.78"/>
    <n v="4.7619047620000003"/>
    <n v="27.638999999999999"/>
    <n v="8.3000000000000007"/>
  </r>
  <r>
    <s v="695-51-0018"/>
    <x v="2"/>
    <x v="2"/>
    <s v="Normal"/>
    <x v="0"/>
    <x v="3"/>
    <n v="34.840000000000003"/>
    <n v="4"/>
    <n v="6.968"/>
    <n v="146.328"/>
    <x v="34"/>
    <d v="1899-12-30T18:36:00"/>
    <x v="1"/>
    <n v="139.36000000000001"/>
    <n v="4.7619047620000003"/>
    <n v="6.968"/>
    <n v="7.4"/>
  </r>
  <r>
    <s v="590-83-4591"/>
    <x v="2"/>
    <x v="2"/>
    <s v="Member"/>
    <x v="1"/>
    <x v="1"/>
    <n v="87.45"/>
    <n v="6"/>
    <n v="26.234999999999999"/>
    <n v="550.93499999999995"/>
    <x v="21"/>
    <d v="1899-12-30T14:40:00"/>
    <x v="2"/>
    <n v="524.70000000000005"/>
    <n v="4.7619047620000003"/>
    <n v="26.234999999999999"/>
    <n v="8.8000000000000007"/>
  </r>
  <r>
    <s v="483-71-1164"/>
    <x v="1"/>
    <x v="1"/>
    <s v="Normal"/>
    <x v="0"/>
    <x v="0"/>
    <n v="81.3"/>
    <n v="6"/>
    <n v="24.39"/>
    <n v="512.19000000000005"/>
    <x v="1"/>
    <d v="1899-12-30T16:43:00"/>
    <x v="0"/>
    <n v="487.8"/>
    <n v="4.7619047620000003"/>
    <n v="24.39"/>
    <n v="5.3"/>
  </r>
  <r>
    <s v="597-78-7908"/>
    <x v="1"/>
    <x v="1"/>
    <s v="Normal"/>
    <x v="1"/>
    <x v="5"/>
    <n v="90.22"/>
    <n v="3"/>
    <n v="13.532999999999999"/>
    <n v="284.19299999999998"/>
    <x v="67"/>
    <d v="1899-12-30T19:39:00"/>
    <x v="1"/>
    <n v="270.66000000000003"/>
    <n v="4.7619047620000003"/>
    <n v="13.532999999999999"/>
    <n v="6.2"/>
  </r>
  <r>
    <s v="700-81-1757"/>
    <x v="0"/>
    <x v="0"/>
    <s v="Normal"/>
    <x v="0"/>
    <x v="1"/>
    <n v="26.31"/>
    <n v="5"/>
    <n v="6.5774999999999997"/>
    <n v="138.1275"/>
    <x v="68"/>
    <d v="1899-12-30T20:59:00"/>
    <x v="2"/>
    <n v="131.55000000000001"/>
    <n v="4.7619047620000003"/>
    <n v="6.5774999999999997"/>
    <n v="8.8000000000000007"/>
  </r>
  <r>
    <s v="354-39-5160"/>
    <x v="0"/>
    <x v="0"/>
    <s v="Member"/>
    <x v="0"/>
    <x v="2"/>
    <n v="34.42"/>
    <n v="6"/>
    <n v="10.326000000000001"/>
    <n v="216.846"/>
    <x v="67"/>
    <d v="1899-12-30T15:39:00"/>
    <x v="1"/>
    <n v="206.52"/>
    <n v="4.7619047620000003"/>
    <n v="10.326000000000001"/>
    <n v="9.8000000000000007"/>
  </r>
  <r>
    <s v="241-72-9525"/>
    <x v="2"/>
    <x v="2"/>
    <s v="Normal"/>
    <x v="1"/>
    <x v="3"/>
    <n v="51.91"/>
    <n v="10"/>
    <n v="25.954999999999998"/>
    <n v="545.05499999999995"/>
    <x v="69"/>
    <d v="1899-12-30T12:21:00"/>
    <x v="1"/>
    <n v="519.1"/>
    <n v="4.7619047620000003"/>
    <n v="25.954999999999998"/>
    <n v="8.1999999999999993"/>
  </r>
  <r>
    <s v="575-30-8091"/>
    <x v="0"/>
    <x v="0"/>
    <s v="Normal"/>
    <x v="1"/>
    <x v="3"/>
    <n v="72.5"/>
    <n v="8"/>
    <n v="29"/>
    <n v="609"/>
    <x v="32"/>
    <d v="1899-12-30T19:25:00"/>
    <x v="0"/>
    <n v="580"/>
    <n v="4.7619047620000003"/>
    <n v="29"/>
    <n v="9.1999999999999993"/>
  </r>
  <r>
    <s v="731-81-9469"/>
    <x v="1"/>
    <x v="1"/>
    <s v="Member"/>
    <x v="0"/>
    <x v="3"/>
    <n v="89.8"/>
    <n v="10"/>
    <n v="44.9"/>
    <n v="942.9"/>
    <x v="54"/>
    <d v="1899-12-30T13:00:00"/>
    <x v="2"/>
    <n v="898"/>
    <n v="4.7619047620000003"/>
    <n v="44.9"/>
    <n v="5.4"/>
  </r>
  <r>
    <s v="280-17-4359"/>
    <x v="1"/>
    <x v="1"/>
    <s v="Member"/>
    <x v="1"/>
    <x v="0"/>
    <n v="90.5"/>
    <n v="10"/>
    <n v="45.25"/>
    <n v="950.25"/>
    <x v="25"/>
    <d v="1899-12-30T13:48:00"/>
    <x v="1"/>
    <n v="905"/>
    <n v="4.7619047620000003"/>
    <n v="45.25"/>
    <n v="8.1"/>
  </r>
  <r>
    <s v="338-65-2210"/>
    <x v="1"/>
    <x v="1"/>
    <s v="Member"/>
    <x v="0"/>
    <x v="0"/>
    <n v="68.599999999999994"/>
    <n v="10"/>
    <n v="34.299999999999997"/>
    <n v="720.3"/>
    <x v="63"/>
    <d v="1899-12-30T19:57:00"/>
    <x v="1"/>
    <n v="686"/>
    <n v="4.7619047620000003"/>
    <n v="34.299999999999997"/>
    <n v="9.1"/>
  </r>
  <r>
    <s v="488-25-4221"/>
    <x v="1"/>
    <x v="1"/>
    <s v="Member"/>
    <x v="0"/>
    <x v="4"/>
    <n v="30.41"/>
    <n v="1"/>
    <n v="1.5205"/>
    <n v="31.930499999999999"/>
    <x v="70"/>
    <d v="1899-12-30T10:36:00"/>
    <x v="2"/>
    <n v="30.41"/>
    <n v="4.7619047620000003"/>
    <n v="1.5205"/>
    <n v="8.4"/>
  </r>
  <r>
    <s v="239-10-7476"/>
    <x v="0"/>
    <x v="0"/>
    <s v="Normal"/>
    <x v="0"/>
    <x v="2"/>
    <n v="77.95"/>
    <n v="6"/>
    <n v="23.385000000000002"/>
    <n v="491.08499999999998"/>
    <x v="18"/>
    <d v="1899-12-30T16:37:00"/>
    <x v="0"/>
    <n v="467.7"/>
    <n v="4.7619047620000003"/>
    <n v="23.385000000000002"/>
    <n v="8"/>
  </r>
  <r>
    <s v="458-41-1477"/>
    <x v="1"/>
    <x v="1"/>
    <s v="Normal"/>
    <x v="0"/>
    <x v="0"/>
    <n v="46.26"/>
    <n v="6"/>
    <n v="13.878"/>
    <n v="291.43799999999999"/>
    <x v="1"/>
    <d v="1899-12-30T17:11:00"/>
    <x v="2"/>
    <n v="277.56"/>
    <n v="4.7619047620000003"/>
    <n v="13.878"/>
    <n v="9.5"/>
  </r>
  <r>
    <s v="685-64-1609"/>
    <x v="0"/>
    <x v="0"/>
    <s v="Member"/>
    <x v="0"/>
    <x v="5"/>
    <n v="30.14"/>
    <n v="10"/>
    <n v="15.07"/>
    <n v="316.47000000000003"/>
    <x v="34"/>
    <d v="1899-12-30T12:28:00"/>
    <x v="0"/>
    <n v="301.39999999999998"/>
    <n v="4.7619047620000003"/>
    <n v="15.07"/>
    <n v="9.1999999999999993"/>
  </r>
  <r>
    <s v="568-90-5112"/>
    <x v="1"/>
    <x v="1"/>
    <s v="Normal"/>
    <x v="1"/>
    <x v="0"/>
    <n v="66.14"/>
    <n v="4"/>
    <n v="13.228"/>
    <n v="277.78800000000001"/>
    <x v="35"/>
    <d v="1899-12-30T12:46:00"/>
    <x v="2"/>
    <n v="264.56"/>
    <n v="4.7619047620000003"/>
    <n v="13.228"/>
    <n v="5.6"/>
  </r>
  <r>
    <s v="262-47-2794"/>
    <x v="2"/>
    <x v="2"/>
    <s v="Member"/>
    <x v="1"/>
    <x v="2"/>
    <n v="71.86"/>
    <n v="8"/>
    <n v="28.744"/>
    <n v="603.62400000000002"/>
    <x v="43"/>
    <d v="1899-12-30T15:07:00"/>
    <x v="2"/>
    <n v="574.88"/>
    <n v="4.7619047620000003"/>
    <n v="28.744"/>
    <n v="6.2"/>
  </r>
  <r>
    <s v="238-49-0436"/>
    <x v="0"/>
    <x v="0"/>
    <s v="Normal"/>
    <x v="1"/>
    <x v="0"/>
    <n v="32.46"/>
    <n v="8"/>
    <n v="12.984"/>
    <n v="272.66399999999999"/>
    <x v="39"/>
    <d v="1899-12-30T13:48:00"/>
    <x v="2"/>
    <n v="259.68"/>
    <n v="4.7619047620000003"/>
    <n v="12.984"/>
    <n v="4.9000000000000004"/>
  </r>
  <r>
    <s v="608-96-3517"/>
    <x v="2"/>
    <x v="2"/>
    <s v="Member"/>
    <x v="0"/>
    <x v="5"/>
    <n v="91.54"/>
    <n v="4"/>
    <n v="18.308"/>
    <n v="384.46800000000002"/>
    <x v="28"/>
    <d v="1899-12-30T19:20:00"/>
    <x v="2"/>
    <n v="366.16"/>
    <n v="4.7619047620000003"/>
    <n v="18.308"/>
    <n v="4.8"/>
  </r>
  <r>
    <s v="584-86-7256"/>
    <x v="1"/>
    <x v="1"/>
    <s v="Member"/>
    <x v="1"/>
    <x v="3"/>
    <n v="34.56"/>
    <n v="7"/>
    <n v="12.096"/>
    <n v="254.01599999999999"/>
    <x v="16"/>
    <d v="1899-12-30T16:07:00"/>
    <x v="2"/>
    <n v="241.92"/>
    <n v="4.7619047620000003"/>
    <n v="12.096"/>
    <n v="7.3"/>
  </r>
  <r>
    <s v="746-94-0204"/>
    <x v="0"/>
    <x v="0"/>
    <s v="Normal"/>
    <x v="1"/>
    <x v="5"/>
    <n v="83.24"/>
    <n v="9"/>
    <n v="37.457999999999998"/>
    <n v="786.61800000000005"/>
    <x v="71"/>
    <d v="1899-12-30T11:56:00"/>
    <x v="2"/>
    <n v="749.16"/>
    <n v="4.7619047620000003"/>
    <n v="37.457999999999998"/>
    <n v="7.4"/>
  </r>
  <r>
    <s v="214-17-6927"/>
    <x v="1"/>
    <x v="1"/>
    <s v="Normal"/>
    <x v="0"/>
    <x v="4"/>
    <n v="16.48"/>
    <n v="6"/>
    <n v="4.944"/>
    <n v="103.824"/>
    <x v="13"/>
    <d v="1899-12-30T18:23:00"/>
    <x v="0"/>
    <n v="98.88"/>
    <n v="4.7619047620000003"/>
    <n v="4.944"/>
    <n v="9.9"/>
  </r>
  <r>
    <s v="400-89-4171"/>
    <x v="1"/>
    <x v="1"/>
    <s v="Normal"/>
    <x v="0"/>
    <x v="3"/>
    <n v="80.97"/>
    <n v="8"/>
    <n v="32.387999999999998"/>
    <n v="680.14800000000002"/>
    <x v="26"/>
    <d v="1899-12-30T13:05:00"/>
    <x v="1"/>
    <n v="647.76"/>
    <n v="4.7619047620000003"/>
    <n v="32.387999999999998"/>
    <n v="9.3000000000000007"/>
  </r>
  <r>
    <s v="782-95-9291"/>
    <x v="0"/>
    <x v="0"/>
    <s v="Member"/>
    <x v="1"/>
    <x v="4"/>
    <n v="92.29"/>
    <n v="5"/>
    <n v="23.072500000000002"/>
    <n v="484.52249999999998"/>
    <x v="9"/>
    <d v="1899-12-30T15:55:00"/>
    <x v="2"/>
    <n v="461.45"/>
    <n v="4.7619047620000003"/>
    <n v="23.072500000000002"/>
    <n v="9"/>
  </r>
  <r>
    <s v="279-74-2924"/>
    <x v="2"/>
    <x v="2"/>
    <s v="Member"/>
    <x v="1"/>
    <x v="1"/>
    <n v="72.17"/>
    <n v="1"/>
    <n v="3.6084999999999998"/>
    <n v="75.778499999999994"/>
    <x v="72"/>
    <d v="1899-12-30T19:40:00"/>
    <x v="1"/>
    <n v="72.17"/>
    <n v="4.7619047620000003"/>
    <n v="3.6084999999999998"/>
    <n v="6.1"/>
  </r>
  <r>
    <s v="307-85-2293"/>
    <x v="2"/>
    <x v="2"/>
    <s v="Normal"/>
    <x v="1"/>
    <x v="2"/>
    <n v="50.28"/>
    <n v="5"/>
    <n v="12.57"/>
    <n v="263.97000000000003"/>
    <x v="37"/>
    <d v="1899-12-30T13:58:00"/>
    <x v="0"/>
    <n v="251.4"/>
    <n v="4.7619047620000003"/>
    <n v="12.57"/>
    <n v="9.6999999999999993"/>
  </r>
  <r>
    <s v="743-04-1105"/>
    <x v="2"/>
    <x v="2"/>
    <s v="Member"/>
    <x v="1"/>
    <x v="0"/>
    <n v="97.22"/>
    <n v="9"/>
    <n v="43.749000000000002"/>
    <n v="918.72900000000004"/>
    <x v="73"/>
    <d v="1899-12-30T14:43:00"/>
    <x v="0"/>
    <n v="874.98"/>
    <n v="4.7619047620000003"/>
    <n v="43.749000000000002"/>
    <n v="6"/>
  </r>
  <r>
    <s v="423-57-2993"/>
    <x v="2"/>
    <x v="2"/>
    <s v="Normal"/>
    <x v="1"/>
    <x v="3"/>
    <n v="93.39"/>
    <n v="6"/>
    <n v="28.016999999999999"/>
    <n v="588.35699999999997"/>
    <x v="39"/>
    <d v="1899-12-30T19:18:00"/>
    <x v="0"/>
    <n v="560.34"/>
    <n v="4.7619047620000003"/>
    <n v="28.016999999999999"/>
    <n v="10"/>
  </r>
  <r>
    <s v="894-41-5205"/>
    <x v="1"/>
    <x v="1"/>
    <s v="Normal"/>
    <x v="0"/>
    <x v="4"/>
    <n v="43.18"/>
    <n v="8"/>
    <n v="17.271999999999998"/>
    <n v="362.71199999999999"/>
    <x v="64"/>
    <d v="1899-12-30T19:39:00"/>
    <x v="2"/>
    <n v="345.44"/>
    <n v="4.7619047620000003"/>
    <n v="17.271999999999998"/>
    <n v="8.3000000000000007"/>
  </r>
  <r>
    <s v="275-28-0149"/>
    <x v="0"/>
    <x v="0"/>
    <s v="Normal"/>
    <x v="1"/>
    <x v="3"/>
    <n v="63.69"/>
    <n v="1"/>
    <n v="3.1844999999999999"/>
    <n v="66.874499999999998"/>
    <x v="6"/>
    <d v="1899-12-30T16:21:00"/>
    <x v="1"/>
    <n v="63.69"/>
    <n v="4.7619047620000003"/>
    <n v="3.1844999999999999"/>
    <n v="6"/>
  </r>
  <r>
    <s v="101-17-6199"/>
    <x v="0"/>
    <x v="0"/>
    <s v="Normal"/>
    <x v="1"/>
    <x v="4"/>
    <n v="45.79"/>
    <n v="7"/>
    <n v="16.026499999999999"/>
    <n v="336.55650000000003"/>
    <x v="45"/>
    <d v="1899-12-30T19:44:00"/>
    <x v="2"/>
    <n v="320.52999999999997"/>
    <n v="4.7619047620000003"/>
    <n v="16.026499999999999"/>
    <n v="7"/>
  </r>
  <r>
    <s v="423-80-0988"/>
    <x v="1"/>
    <x v="1"/>
    <s v="Normal"/>
    <x v="1"/>
    <x v="3"/>
    <n v="76.400000000000006"/>
    <n v="2"/>
    <n v="7.64"/>
    <n v="160.44"/>
    <x v="74"/>
    <d v="1899-12-30T19:42:00"/>
    <x v="0"/>
    <n v="152.80000000000001"/>
    <n v="4.7619047620000003"/>
    <n v="7.64"/>
    <n v="6.5"/>
  </r>
  <r>
    <s v="548-46-9322"/>
    <x v="2"/>
    <x v="2"/>
    <s v="Normal"/>
    <x v="1"/>
    <x v="4"/>
    <n v="39.9"/>
    <n v="10"/>
    <n v="19.95"/>
    <n v="418.95"/>
    <x v="9"/>
    <d v="1899-12-30T15:24:00"/>
    <x v="2"/>
    <n v="399"/>
    <n v="4.7619047620000003"/>
    <n v="19.95"/>
    <n v="5.9"/>
  </r>
  <r>
    <s v="505-02-0892"/>
    <x v="2"/>
    <x v="2"/>
    <s v="Member"/>
    <x v="1"/>
    <x v="0"/>
    <n v="42.57"/>
    <n v="8"/>
    <n v="17.027999999999999"/>
    <n v="357.58800000000002"/>
    <x v="6"/>
    <d v="1899-12-30T14:12:00"/>
    <x v="0"/>
    <n v="340.56"/>
    <n v="4.7619047620000003"/>
    <n v="17.027999999999999"/>
    <n v="5.6"/>
  </r>
  <r>
    <s v="234-65-2137"/>
    <x v="1"/>
    <x v="1"/>
    <s v="Normal"/>
    <x v="1"/>
    <x v="2"/>
    <n v="95.58"/>
    <n v="10"/>
    <n v="47.79"/>
    <n v="1003.59"/>
    <x v="65"/>
    <d v="1899-12-30T13:32:00"/>
    <x v="1"/>
    <n v="955.8"/>
    <n v="4.7619047620000003"/>
    <n v="47.79"/>
    <n v="4.8"/>
  </r>
  <r>
    <s v="687-47-8271"/>
    <x v="0"/>
    <x v="0"/>
    <s v="Normal"/>
    <x v="1"/>
    <x v="5"/>
    <n v="98.98"/>
    <n v="10"/>
    <n v="49.49"/>
    <n v="1039.29"/>
    <x v="4"/>
    <d v="1899-12-30T16:20:00"/>
    <x v="2"/>
    <n v="989.8"/>
    <n v="4.7619047620000003"/>
    <n v="49.49"/>
    <n v="8.6999999999999993"/>
  </r>
  <r>
    <s v="796-32-9050"/>
    <x v="0"/>
    <x v="0"/>
    <s v="Normal"/>
    <x v="1"/>
    <x v="4"/>
    <n v="51.28"/>
    <n v="6"/>
    <n v="15.384"/>
    <n v="323.06400000000002"/>
    <x v="64"/>
    <d v="1899-12-30T16:31:00"/>
    <x v="1"/>
    <n v="307.68"/>
    <n v="4.7619047620000003"/>
    <n v="15.384"/>
    <n v="6.5"/>
  </r>
  <r>
    <s v="105-31-1824"/>
    <x v="0"/>
    <x v="0"/>
    <s v="Member"/>
    <x v="1"/>
    <x v="3"/>
    <n v="69.52"/>
    <n v="7"/>
    <n v="24.332000000000001"/>
    <n v="510.97199999999998"/>
    <x v="60"/>
    <d v="1899-12-30T15:10:00"/>
    <x v="2"/>
    <n v="486.64"/>
    <n v="4.7619047620000003"/>
    <n v="24.332000000000001"/>
    <n v="8.5"/>
  </r>
  <r>
    <s v="249-42-3782"/>
    <x v="0"/>
    <x v="0"/>
    <s v="Normal"/>
    <x v="1"/>
    <x v="0"/>
    <n v="70.010000000000005"/>
    <n v="5"/>
    <n v="17.502500000000001"/>
    <n v="367.55250000000001"/>
    <x v="75"/>
    <d v="1899-12-30T11:36:00"/>
    <x v="0"/>
    <n v="350.05"/>
    <n v="4.7619047620000003"/>
    <n v="17.502500000000001"/>
    <n v="5.5"/>
  </r>
  <r>
    <s v="316-55-4634"/>
    <x v="2"/>
    <x v="2"/>
    <s v="Member"/>
    <x v="1"/>
    <x v="4"/>
    <n v="80.05"/>
    <n v="5"/>
    <n v="20.012499999999999"/>
    <n v="420.26249999999999"/>
    <x v="53"/>
    <d v="1899-12-30T12:45:00"/>
    <x v="2"/>
    <n v="400.25"/>
    <n v="4.7619047620000003"/>
    <n v="20.012499999999999"/>
    <n v="9.4"/>
  </r>
  <r>
    <s v="733-33-4967"/>
    <x v="1"/>
    <x v="1"/>
    <s v="Normal"/>
    <x v="1"/>
    <x v="1"/>
    <n v="20.85"/>
    <n v="8"/>
    <n v="8.34"/>
    <n v="175.14"/>
    <x v="2"/>
    <d v="1899-12-30T19:17:00"/>
    <x v="1"/>
    <n v="166.8"/>
    <n v="4.7619047620000003"/>
    <n v="8.34"/>
    <n v="6.3"/>
  </r>
  <r>
    <s v="608-27-6295"/>
    <x v="2"/>
    <x v="2"/>
    <s v="Member"/>
    <x v="1"/>
    <x v="1"/>
    <n v="52.89"/>
    <n v="6"/>
    <n v="15.867000000000001"/>
    <n v="333.20699999999999"/>
    <x v="64"/>
    <d v="1899-12-30T17:34:00"/>
    <x v="2"/>
    <n v="317.33999999999997"/>
    <n v="4.7619047620000003"/>
    <n v="15.867000000000001"/>
    <n v="9.8000000000000007"/>
  </r>
  <r>
    <s v="414-12-7047"/>
    <x v="2"/>
    <x v="2"/>
    <s v="Normal"/>
    <x v="1"/>
    <x v="4"/>
    <n v="19.79"/>
    <n v="8"/>
    <n v="7.9160000000000004"/>
    <n v="166.23599999999999"/>
    <x v="68"/>
    <d v="1899-12-30T12:04:00"/>
    <x v="0"/>
    <n v="158.32"/>
    <n v="4.7619047620000003"/>
    <n v="7.9160000000000004"/>
    <n v="8.6999999999999993"/>
  </r>
  <r>
    <s v="827-26-2100"/>
    <x v="0"/>
    <x v="0"/>
    <s v="Member"/>
    <x v="1"/>
    <x v="2"/>
    <n v="33.840000000000003"/>
    <n v="9"/>
    <n v="15.228"/>
    <n v="319.78800000000001"/>
    <x v="76"/>
    <d v="1899-12-30T16:21:00"/>
    <x v="0"/>
    <n v="304.56"/>
    <n v="4.7619047620000003"/>
    <n v="15.228"/>
    <n v="8.8000000000000007"/>
  </r>
  <r>
    <s v="175-54-2529"/>
    <x v="0"/>
    <x v="0"/>
    <s v="Member"/>
    <x v="1"/>
    <x v="4"/>
    <n v="22.17"/>
    <n v="8"/>
    <n v="8.8680000000000003"/>
    <n v="186.22800000000001"/>
    <x v="2"/>
    <d v="1899-12-30T17:01:00"/>
    <x v="2"/>
    <n v="177.36"/>
    <n v="4.7619047620000003"/>
    <n v="8.8680000000000003"/>
    <n v="9.6"/>
  </r>
  <r>
    <s v="139-52-2867"/>
    <x v="1"/>
    <x v="1"/>
    <s v="Normal"/>
    <x v="0"/>
    <x v="5"/>
    <n v="22.51"/>
    <n v="7"/>
    <n v="7.8784999999999998"/>
    <n v="165.4485"/>
    <x v="77"/>
    <d v="1899-12-30T10:50:00"/>
    <x v="2"/>
    <n v="157.57"/>
    <n v="4.7619047620000003"/>
    <n v="7.8784999999999998"/>
    <n v="4.8"/>
  </r>
  <r>
    <s v="407-63-8975"/>
    <x v="0"/>
    <x v="0"/>
    <s v="Normal"/>
    <x v="1"/>
    <x v="4"/>
    <n v="73.88"/>
    <n v="6"/>
    <n v="22.164000000000001"/>
    <n v="465.44400000000002"/>
    <x v="28"/>
    <d v="1899-12-30T19:16:00"/>
    <x v="0"/>
    <n v="443.28"/>
    <n v="4.7619047620000003"/>
    <n v="22.164000000000001"/>
    <n v="4.4000000000000004"/>
  </r>
  <r>
    <s v="342-65-4817"/>
    <x v="1"/>
    <x v="1"/>
    <s v="Member"/>
    <x v="1"/>
    <x v="0"/>
    <n v="86.8"/>
    <n v="3"/>
    <n v="13.02"/>
    <n v="273.42"/>
    <x v="26"/>
    <d v="1899-12-30T16:47:00"/>
    <x v="0"/>
    <n v="260.39999999999998"/>
    <n v="4.7619047620000003"/>
    <n v="13.02"/>
    <n v="9.9"/>
  </r>
  <r>
    <s v="130-98-8941"/>
    <x v="1"/>
    <x v="1"/>
    <s v="Normal"/>
    <x v="1"/>
    <x v="5"/>
    <n v="64.260000000000005"/>
    <n v="7"/>
    <n v="22.491"/>
    <n v="472.31099999999998"/>
    <x v="57"/>
    <d v="1899-12-30T10:00:00"/>
    <x v="1"/>
    <n v="449.82"/>
    <n v="4.7619047620000003"/>
    <n v="22.491"/>
    <n v="5.7"/>
  </r>
  <r>
    <s v="434-83-9547"/>
    <x v="1"/>
    <x v="1"/>
    <s v="Member"/>
    <x v="1"/>
    <x v="4"/>
    <n v="38.47"/>
    <n v="8"/>
    <n v="15.388"/>
    <n v="323.14800000000002"/>
    <x v="54"/>
    <d v="1899-12-30T11:51:00"/>
    <x v="1"/>
    <n v="307.76"/>
    <n v="4.7619047620000003"/>
    <n v="15.388"/>
    <n v="7.7"/>
  </r>
  <r>
    <s v="851-28-6367"/>
    <x v="0"/>
    <x v="0"/>
    <s v="Member"/>
    <x v="1"/>
    <x v="3"/>
    <n v="15.5"/>
    <n v="10"/>
    <n v="7.75"/>
    <n v="162.75"/>
    <x v="28"/>
    <d v="1899-12-30T10:55:00"/>
    <x v="0"/>
    <n v="155"/>
    <n v="4.7619047620000003"/>
    <n v="7.75"/>
    <n v="8"/>
  </r>
  <r>
    <s v="824-88-3614"/>
    <x v="1"/>
    <x v="1"/>
    <s v="Normal"/>
    <x v="1"/>
    <x v="0"/>
    <n v="34.31"/>
    <n v="8"/>
    <n v="13.724"/>
    <n v="288.20400000000001"/>
    <x v="25"/>
    <d v="1899-12-30T15:00:00"/>
    <x v="0"/>
    <n v="274.48"/>
    <n v="4.7619047620000003"/>
    <n v="13.724"/>
    <n v="5.7"/>
  </r>
  <r>
    <s v="586-25-0848"/>
    <x v="0"/>
    <x v="0"/>
    <s v="Normal"/>
    <x v="0"/>
    <x v="3"/>
    <n v="12.34"/>
    <n v="7"/>
    <n v="4.319"/>
    <n v="90.698999999999998"/>
    <x v="31"/>
    <d v="1899-12-30T11:19:00"/>
    <x v="2"/>
    <n v="86.38"/>
    <n v="4.7619047620000003"/>
    <n v="4.319"/>
    <n v="6.7"/>
  </r>
  <r>
    <s v="895-66-0685"/>
    <x v="2"/>
    <x v="2"/>
    <s v="Member"/>
    <x v="1"/>
    <x v="4"/>
    <n v="18.079999999999998"/>
    <n v="3"/>
    <n v="2.7120000000000002"/>
    <n v="56.951999999999998"/>
    <x v="19"/>
    <d v="1899-12-30T19:46:00"/>
    <x v="0"/>
    <n v="54.24"/>
    <n v="4.7619047620000003"/>
    <n v="2.7120000000000002"/>
    <n v="8"/>
  </r>
  <r>
    <s v="305-14-0245"/>
    <x v="2"/>
    <x v="2"/>
    <s v="Member"/>
    <x v="0"/>
    <x v="2"/>
    <n v="94.49"/>
    <n v="8"/>
    <n v="37.795999999999999"/>
    <n v="793.71600000000001"/>
    <x v="2"/>
    <d v="1899-12-30T19:00:00"/>
    <x v="0"/>
    <n v="755.92"/>
    <n v="4.7619047620000003"/>
    <n v="37.795999999999999"/>
    <n v="7.5"/>
  </r>
  <r>
    <s v="732-04-5373"/>
    <x v="2"/>
    <x v="2"/>
    <s v="Member"/>
    <x v="1"/>
    <x v="2"/>
    <n v="46.47"/>
    <n v="4"/>
    <n v="9.2940000000000005"/>
    <n v="195.17400000000001"/>
    <x v="4"/>
    <d v="1899-12-30T10:53:00"/>
    <x v="1"/>
    <n v="185.88"/>
    <n v="4.7619047620000003"/>
    <n v="9.2940000000000005"/>
    <n v="7"/>
  </r>
  <r>
    <s v="400-60-7251"/>
    <x v="0"/>
    <x v="0"/>
    <s v="Normal"/>
    <x v="1"/>
    <x v="2"/>
    <n v="74.069999999999993"/>
    <n v="1"/>
    <n v="3.7035"/>
    <n v="77.773499999999999"/>
    <x v="34"/>
    <d v="1899-12-30T12:50:00"/>
    <x v="0"/>
    <n v="74.069999999999993"/>
    <n v="4.7619047620000003"/>
    <n v="3.7035"/>
    <n v="9.9"/>
  </r>
  <r>
    <s v="593-65-1552"/>
    <x v="1"/>
    <x v="1"/>
    <s v="Normal"/>
    <x v="0"/>
    <x v="2"/>
    <n v="69.81"/>
    <n v="4"/>
    <n v="13.962"/>
    <n v="293.202"/>
    <x v="26"/>
    <d v="1899-12-30T20:50:00"/>
    <x v="2"/>
    <n v="279.24"/>
    <n v="4.7619047620000003"/>
    <n v="13.962"/>
    <n v="5.9"/>
  </r>
  <r>
    <s v="284-34-9626"/>
    <x v="2"/>
    <x v="2"/>
    <s v="Normal"/>
    <x v="0"/>
    <x v="2"/>
    <n v="77.040000000000006"/>
    <n v="3"/>
    <n v="11.555999999999999"/>
    <n v="242.67599999999999"/>
    <x v="48"/>
    <d v="1899-12-30T10:39:00"/>
    <x v="2"/>
    <n v="231.12"/>
    <n v="4.7619047620000003"/>
    <n v="11.555999999999999"/>
    <n v="7.2"/>
  </r>
  <r>
    <s v="437-58-8131"/>
    <x v="2"/>
    <x v="2"/>
    <s v="Normal"/>
    <x v="0"/>
    <x v="5"/>
    <n v="73.52"/>
    <n v="2"/>
    <n v="7.3520000000000003"/>
    <n v="154.392"/>
    <x v="15"/>
    <d v="1899-12-30T13:41:00"/>
    <x v="0"/>
    <n v="147.04"/>
    <n v="4.7619047620000003"/>
    <n v="7.3520000000000003"/>
    <n v="4.5999999999999996"/>
  </r>
  <r>
    <s v="286-43-6208"/>
    <x v="1"/>
    <x v="1"/>
    <s v="Normal"/>
    <x v="0"/>
    <x v="4"/>
    <n v="87.8"/>
    <n v="9"/>
    <n v="39.51"/>
    <n v="829.71"/>
    <x v="32"/>
    <d v="1899-12-30T19:08:00"/>
    <x v="1"/>
    <n v="790.2"/>
    <n v="4.7619047620000003"/>
    <n v="39.51"/>
    <n v="9.1999999999999993"/>
  </r>
  <r>
    <s v="641-43-2399"/>
    <x v="2"/>
    <x v="2"/>
    <s v="Normal"/>
    <x v="1"/>
    <x v="2"/>
    <n v="25.55"/>
    <n v="4"/>
    <n v="5.1100000000000003"/>
    <n v="107.31"/>
    <x v="53"/>
    <d v="1899-12-30T20:23:00"/>
    <x v="0"/>
    <n v="102.2"/>
    <n v="4.7619047620000003"/>
    <n v="5.1100000000000003"/>
    <n v="5.7"/>
  </r>
  <r>
    <s v="831-07-6050"/>
    <x v="0"/>
    <x v="0"/>
    <s v="Normal"/>
    <x v="1"/>
    <x v="1"/>
    <n v="32.71"/>
    <n v="5"/>
    <n v="8.1775000000000002"/>
    <n v="171.72749999999999"/>
    <x v="35"/>
    <d v="1899-12-30T11:30:00"/>
    <x v="2"/>
    <n v="163.55000000000001"/>
    <n v="4.7619047620000003"/>
    <n v="8.1775000000000002"/>
    <n v="9.9"/>
  </r>
  <r>
    <s v="556-86-3144"/>
    <x v="1"/>
    <x v="1"/>
    <s v="Member"/>
    <x v="0"/>
    <x v="5"/>
    <n v="74.290000000000006"/>
    <n v="1"/>
    <n v="3.7145000000000001"/>
    <n v="78.004499999999993"/>
    <x v="50"/>
    <d v="1899-12-30T19:30:00"/>
    <x v="1"/>
    <n v="74.290000000000006"/>
    <n v="4.7619047620000003"/>
    <n v="3.7145000000000001"/>
    <n v="5"/>
  </r>
  <r>
    <s v="848-24-9445"/>
    <x v="1"/>
    <x v="1"/>
    <s v="Member"/>
    <x v="1"/>
    <x v="0"/>
    <n v="43.7"/>
    <n v="2"/>
    <n v="4.37"/>
    <n v="91.77"/>
    <x v="58"/>
    <d v="1899-12-30T18:03:00"/>
    <x v="1"/>
    <n v="87.4"/>
    <n v="4.7619047620000003"/>
    <n v="4.37"/>
    <n v="4.9000000000000004"/>
  </r>
  <r>
    <s v="856-22-8149"/>
    <x v="0"/>
    <x v="0"/>
    <s v="Normal"/>
    <x v="0"/>
    <x v="2"/>
    <n v="25.29"/>
    <n v="1"/>
    <n v="1.2645"/>
    <n v="26.554500000000001"/>
    <x v="28"/>
    <d v="1899-12-30T10:13:00"/>
    <x v="0"/>
    <n v="25.29"/>
    <n v="4.7619047620000003"/>
    <n v="1.2645"/>
    <n v="6.1"/>
  </r>
  <r>
    <s v="699-01-4164"/>
    <x v="1"/>
    <x v="1"/>
    <s v="Normal"/>
    <x v="1"/>
    <x v="0"/>
    <n v="41.5"/>
    <n v="4"/>
    <n v="8.3000000000000007"/>
    <n v="174.3"/>
    <x v="41"/>
    <d v="1899-12-30T19:58:00"/>
    <x v="2"/>
    <n v="166"/>
    <n v="4.7619047620000003"/>
    <n v="8.3000000000000007"/>
    <n v="8.1999999999999993"/>
  </r>
  <r>
    <s v="420-11-4919"/>
    <x v="1"/>
    <x v="1"/>
    <s v="Member"/>
    <x v="0"/>
    <x v="4"/>
    <n v="71.39"/>
    <n v="5"/>
    <n v="17.8475"/>
    <n v="374.79750000000001"/>
    <x v="21"/>
    <d v="1899-12-30T19:57:00"/>
    <x v="2"/>
    <n v="356.95"/>
    <n v="4.7619047620000003"/>
    <n v="17.8475"/>
    <n v="5.5"/>
  </r>
  <r>
    <s v="606-80-4905"/>
    <x v="1"/>
    <x v="1"/>
    <s v="Member"/>
    <x v="0"/>
    <x v="3"/>
    <n v="19.149999999999999"/>
    <n v="6"/>
    <n v="5.7450000000000001"/>
    <n v="120.645"/>
    <x v="71"/>
    <d v="1899-12-30T10:01:00"/>
    <x v="2"/>
    <n v="114.9"/>
    <n v="4.7619047620000003"/>
    <n v="5.7450000000000001"/>
    <n v="6.8"/>
  </r>
  <r>
    <s v="542-41-0513"/>
    <x v="2"/>
    <x v="2"/>
    <s v="Member"/>
    <x v="0"/>
    <x v="1"/>
    <n v="57.49"/>
    <n v="4"/>
    <n v="11.497999999999999"/>
    <n v="241.458"/>
    <x v="20"/>
    <d v="1899-12-30T11:57:00"/>
    <x v="1"/>
    <n v="229.96"/>
    <n v="4.7619047620000003"/>
    <n v="11.497999999999999"/>
    <n v="6.6"/>
  </r>
  <r>
    <s v="426-39-2418"/>
    <x v="1"/>
    <x v="1"/>
    <s v="Normal"/>
    <x v="1"/>
    <x v="1"/>
    <n v="61.41"/>
    <n v="7"/>
    <n v="21.493500000000001"/>
    <n v="451.36349999999999"/>
    <x v="78"/>
    <d v="1899-12-30T10:02:00"/>
    <x v="1"/>
    <n v="429.87"/>
    <n v="4.7619047620000003"/>
    <n v="21.493500000000001"/>
    <n v="9.8000000000000007"/>
  </r>
  <r>
    <s v="875-46-5808"/>
    <x v="2"/>
    <x v="2"/>
    <s v="Member"/>
    <x v="1"/>
    <x v="0"/>
    <n v="25.9"/>
    <n v="10"/>
    <n v="12.95"/>
    <n v="271.95"/>
    <x v="10"/>
    <d v="1899-12-30T14:51:00"/>
    <x v="0"/>
    <n v="259"/>
    <n v="4.7619047620000003"/>
    <n v="12.95"/>
    <n v="8.6999999999999993"/>
  </r>
  <r>
    <s v="394-43-4238"/>
    <x v="2"/>
    <x v="2"/>
    <s v="Member"/>
    <x v="1"/>
    <x v="2"/>
    <n v="17.77"/>
    <n v="5"/>
    <n v="4.4424999999999999"/>
    <n v="93.292500000000004"/>
    <x v="42"/>
    <d v="1899-12-30T12:42:00"/>
    <x v="2"/>
    <n v="88.85"/>
    <n v="4.7619047620000003"/>
    <n v="4.4424999999999999"/>
    <n v="5.4"/>
  </r>
  <r>
    <s v="749-24-1565"/>
    <x v="0"/>
    <x v="0"/>
    <s v="Normal"/>
    <x v="0"/>
    <x v="0"/>
    <n v="23.03"/>
    <n v="9"/>
    <n v="10.3635"/>
    <n v="217.6335"/>
    <x v="75"/>
    <d v="1899-12-30T12:02:00"/>
    <x v="0"/>
    <n v="207.27"/>
    <n v="4.7619047620000003"/>
    <n v="10.3635"/>
    <n v="7.9"/>
  </r>
  <r>
    <s v="672-51-8681"/>
    <x v="1"/>
    <x v="1"/>
    <s v="Member"/>
    <x v="0"/>
    <x v="1"/>
    <n v="66.650000000000006"/>
    <n v="9"/>
    <n v="29.9925"/>
    <n v="629.84249999999997"/>
    <x v="72"/>
    <d v="1899-12-30T18:19:00"/>
    <x v="2"/>
    <n v="599.85"/>
    <n v="4.7619047620000003"/>
    <n v="29.9925"/>
    <n v="9.6999999999999993"/>
  </r>
  <r>
    <s v="263-87-5680"/>
    <x v="1"/>
    <x v="1"/>
    <s v="Member"/>
    <x v="0"/>
    <x v="2"/>
    <n v="28.53"/>
    <n v="10"/>
    <n v="14.265000000000001"/>
    <n v="299.565"/>
    <x v="79"/>
    <d v="1899-12-30T17:38:00"/>
    <x v="0"/>
    <n v="285.3"/>
    <n v="4.7619047620000003"/>
    <n v="14.265000000000001"/>
    <n v="7.8"/>
  </r>
  <r>
    <s v="573-58-9734"/>
    <x v="2"/>
    <x v="2"/>
    <s v="Normal"/>
    <x v="0"/>
    <x v="5"/>
    <n v="30.37"/>
    <n v="3"/>
    <n v="4.5555000000000003"/>
    <n v="95.665499999999994"/>
    <x v="61"/>
    <d v="1899-12-30T13:41:00"/>
    <x v="0"/>
    <n v="91.11"/>
    <n v="4.7619047620000003"/>
    <n v="4.5555000000000003"/>
    <n v="5.0999999999999996"/>
  </r>
  <r>
    <s v="817-69-8206"/>
    <x v="2"/>
    <x v="2"/>
    <s v="Normal"/>
    <x v="0"/>
    <x v="1"/>
    <n v="99.73"/>
    <n v="9"/>
    <n v="44.878500000000003"/>
    <n v="942.44849999999997"/>
    <x v="22"/>
    <d v="1899-12-30T19:42:00"/>
    <x v="2"/>
    <n v="897.57"/>
    <n v="4.7619047620000003"/>
    <n v="44.878500000000003"/>
    <n v="6.5"/>
  </r>
  <r>
    <s v="888-02-0338"/>
    <x v="0"/>
    <x v="0"/>
    <s v="Normal"/>
    <x v="1"/>
    <x v="1"/>
    <n v="26.23"/>
    <n v="9"/>
    <n v="11.8035"/>
    <n v="247.87350000000001"/>
    <x v="25"/>
    <d v="1899-12-30T20:24:00"/>
    <x v="0"/>
    <n v="236.07"/>
    <n v="4.7619047620000003"/>
    <n v="11.8035"/>
    <n v="5.9"/>
  </r>
  <r>
    <s v="677-11-0152"/>
    <x v="1"/>
    <x v="1"/>
    <s v="Normal"/>
    <x v="0"/>
    <x v="4"/>
    <n v="93.26"/>
    <n v="9"/>
    <n v="41.966999999999999"/>
    <n v="881.30700000000002"/>
    <x v="65"/>
    <d v="1899-12-30T18:08:00"/>
    <x v="1"/>
    <n v="839.34"/>
    <n v="4.7619047620000003"/>
    <n v="41.966999999999999"/>
    <n v="8.8000000000000007"/>
  </r>
  <r>
    <s v="142-63-6033"/>
    <x v="2"/>
    <x v="2"/>
    <s v="Normal"/>
    <x v="1"/>
    <x v="2"/>
    <n v="92.36"/>
    <n v="5"/>
    <n v="23.09"/>
    <n v="484.89"/>
    <x v="80"/>
    <d v="1899-12-30T19:17:00"/>
    <x v="0"/>
    <n v="461.8"/>
    <n v="4.7619047620000003"/>
    <n v="23.09"/>
    <n v="4.9000000000000004"/>
  </r>
  <r>
    <s v="656-16-1063"/>
    <x v="2"/>
    <x v="2"/>
    <s v="Normal"/>
    <x v="1"/>
    <x v="3"/>
    <n v="46.42"/>
    <n v="3"/>
    <n v="6.9630000000000001"/>
    <n v="146.22300000000001"/>
    <x v="72"/>
    <d v="1899-12-30T13:24:00"/>
    <x v="2"/>
    <n v="139.26"/>
    <n v="4.7619047620000003"/>
    <n v="6.9630000000000001"/>
    <n v="4.4000000000000004"/>
  </r>
  <r>
    <s v="891-58-8335"/>
    <x v="2"/>
    <x v="2"/>
    <s v="Member"/>
    <x v="0"/>
    <x v="3"/>
    <n v="29.61"/>
    <n v="7"/>
    <n v="10.3635"/>
    <n v="217.6335"/>
    <x v="16"/>
    <d v="1899-12-30T15:53:00"/>
    <x v="1"/>
    <n v="207.27"/>
    <n v="4.7619047620000003"/>
    <n v="10.3635"/>
    <n v="6.5"/>
  </r>
  <r>
    <s v="802-43-8934"/>
    <x v="0"/>
    <x v="0"/>
    <s v="Normal"/>
    <x v="1"/>
    <x v="2"/>
    <n v="18.28"/>
    <n v="1"/>
    <n v="0.91400000000000003"/>
    <n v="19.193999999999999"/>
    <x v="23"/>
    <d v="1899-12-30T15:05:00"/>
    <x v="2"/>
    <n v="18.28"/>
    <n v="4.7619047620000003"/>
    <n v="0.91400000000000003"/>
    <n v="8.3000000000000007"/>
  </r>
  <r>
    <s v="560-30-5617"/>
    <x v="2"/>
    <x v="2"/>
    <s v="Normal"/>
    <x v="0"/>
    <x v="3"/>
    <n v="24.77"/>
    <n v="5"/>
    <n v="6.1924999999999999"/>
    <n v="130.04249999999999"/>
    <x v="62"/>
    <d v="1899-12-30T18:27:00"/>
    <x v="1"/>
    <n v="123.85"/>
    <n v="4.7619047620000003"/>
    <n v="6.1924999999999999"/>
    <n v="8.5"/>
  </r>
  <r>
    <s v="319-74-2561"/>
    <x v="0"/>
    <x v="0"/>
    <s v="Member"/>
    <x v="0"/>
    <x v="1"/>
    <n v="94.64"/>
    <n v="3"/>
    <n v="14.196"/>
    <n v="298.11599999999999"/>
    <x v="81"/>
    <d v="1899-12-30T16:55:00"/>
    <x v="1"/>
    <n v="283.92"/>
    <n v="4.7619047620000003"/>
    <n v="14.196"/>
    <n v="5.5"/>
  </r>
  <r>
    <s v="549-03-9315"/>
    <x v="2"/>
    <x v="2"/>
    <s v="Normal"/>
    <x v="1"/>
    <x v="5"/>
    <n v="94.87"/>
    <n v="8"/>
    <n v="37.948"/>
    <n v="796.90800000000002"/>
    <x v="12"/>
    <d v="1899-12-30T12:58:00"/>
    <x v="0"/>
    <n v="758.96"/>
    <n v="4.7619047620000003"/>
    <n v="37.948"/>
    <n v="8.6999999999999993"/>
  </r>
  <r>
    <s v="790-29-1172"/>
    <x v="2"/>
    <x v="2"/>
    <s v="Normal"/>
    <x v="0"/>
    <x v="4"/>
    <n v="57.34"/>
    <n v="3"/>
    <n v="8.6010000000000009"/>
    <n v="180.62100000000001"/>
    <x v="24"/>
    <d v="1899-12-30T18:59:00"/>
    <x v="2"/>
    <n v="172.02"/>
    <n v="4.7619047620000003"/>
    <n v="8.6010000000000009"/>
    <n v="7.9"/>
  </r>
  <r>
    <s v="239-36-3640"/>
    <x v="2"/>
    <x v="2"/>
    <s v="Normal"/>
    <x v="1"/>
    <x v="1"/>
    <n v="45.35"/>
    <n v="6"/>
    <n v="13.605"/>
    <n v="285.70499999999998"/>
    <x v="82"/>
    <d v="1899-12-30T13:44:00"/>
    <x v="0"/>
    <n v="272.10000000000002"/>
    <n v="4.7619047620000003"/>
    <n v="13.605"/>
    <n v="6.1"/>
  </r>
  <r>
    <s v="468-01-2051"/>
    <x v="2"/>
    <x v="2"/>
    <s v="Normal"/>
    <x v="1"/>
    <x v="4"/>
    <n v="62.08"/>
    <n v="7"/>
    <n v="21.728000000000002"/>
    <n v="456.28800000000001"/>
    <x v="43"/>
    <d v="1899-12-30T13:46:00"/>
    <x v="0"/>
    <n v="434.56"/>
    <n v="4.7619047620000003"/>
    <n v="21.728000000000002"/>
    <n v="5.4"/>
  </r>
  <r>
    <s v="389-25-3394"/>
    <x v="1"/>
    <x v="1"/>
    <s v="Normal"/>
    <x v="1"/>
    <x v="1"/>
    <n v="11.81"/>
    <n v="5"/>
    <n v="2.9525000000000001"/>
    <n v="62.002499999999998"/>
    <x v="21"/>
    <d v="1899-12-30T18:06:00"/>
    <x v="1"/>
    <n v="59.05"/>
    <n v="4.7619047620000003"/>
    <n v="2.9525000000000001"/>
    <n v="9.4"/>
  </r>
  <r>
    <s v="279-62-1445"/>
    <x v="1"/>
    <x v="1"/>
    <s v="Member"/>
    <x v="0"/>
    <x v="5"/>
    <n v="12.54"/>
    <n v="1"/>
    <n v="0.627"/>
    <n v="13.167"/>
    <x v="81"/>
    <d v="1899-12-30T12:38:00"/>
    <x v="1"/>
    <n v="12.54"/>
    <n v="4.7619047620000003"/>
    <n v="0.627"/>
    <n v="8.1999999999999993"/>
  </r>
  <r>
    <s v="213-72-6612"/>
    <x v="0"/>
    <x v="0"/>
    <s v="Normal"/>
    <x v="1"/>
    <x v="4"/>
    <n v="43.25"/>
    <n v="2"/>
    <n v="4.3250000000000002"/>
    <n v="90.825000000000003"/>
    <x v="80"/>
    <d v="1899-12-30T15:56:00"/>
    <x v="1"/>
    <n v="86.5"/>
    <n v="4.7619047620000003"/>
    <n v="4.3250000000000002"/>
    <n v="6.2"/>
  </r>
  <r>
    <s v="746-68-6593"/>
    <x v="1"/>
    <x v="1"/>
    <s v="Member"/>
    <x v="0"/>
    <x v="3"/>
    <n v="87.16"/>
    <n v="2"/>
    <n v="8.7159999999999993"/>
    <n v="183.036"/>
    <x v="83"/>
    <d v="1899-12-30T14:29:00"/>
    <x v="2"/>
    <n v="174.32"/>
    <n v="4.7619047620000003"/>
    <n v="8.7159999999999993"/>
    <n v="9.6999999999999993"/>
  </r>
  <r>
    <s v="836-82-5858"/>
    <x v="2"/>
    <x v="2"/>
    <s v="Member"/>
    <x v="1"/>
    <x v="0"/>
    <n v="69.37"/>
    <n v="9"/>
    <n v="31.2165"/>
    <n v="655.54650000000004"/>
    <x v="53"/>
    <d v="1899-12-30T19:14:00"/>
    <x v="0"/>
    <n v="624.33000000000004"/>
    <n v="4.7619047620000003"/>
    <n v="31.2165"/>
    <n v="4"/>
  </r>
  <r>
    <s v="583-72-1480"/>
    <x v="1"/>
    <x v="1"/>
    <s v="Member"/>
    <x v="1"/>
    <x v="1"/>
    <n v="37.06"/>
    <n v="4"/>
    <n v="7.4119999999999999"/>
    <n v="155.65199999999999"/>
    <x v="82"/>
    <d v="1899-12-30T16:24:00"/>
    <x v="0"/>
    <n v="148.24"/>
    <n v="4.7619047620000003"/>
    <n v="7.4119999999999999"/>
    <n v="9.6999999999999993"/>
  </r>
  <r>
    <s v="466-61-5506"/>
    <x v="2"/>
    <x v="2"/>
    <s v="Member"/>
    <x v="0"/>
    <x v="1"/>
    <n v="90.7"/>
    <n v="6"/>
    <n v="27.21"/>
    <n v="571.41"/>
    <x v="84"/>
    <d v="1899-12-30T10:52:00"/>
    <x v="1"/>
    <n v="544.20000000000005"/>
    <n v="4.7619047620000003"/>
    <n v="27.21"/>
    <n v="5.3"/>
  </r>
  <r>
    <s v="721-86-6247"/>
    <x v="0"/>
    <x v="0"/>
    <s v="Normal"/>
    <x v="0"/>
    <x v="2"/>
    <n v="63.42"/>
    <n v="8"/>
    <n v="25.367999999999999"/>
    <n v="532.72799999999995"/>
    <x v="16"/>
    <d v="1899-12-30T12:55:00"/>
    <x v="0"/>
    <n v="507.36"/>
    <n v="4.7619047620000003"/>
    <n v="25.367999999999999"/>
    <n v="7.4"/>
  </r>
  <r>
    <s v="289-65-5721"/>
    <x v="2"/>
    <x v="2"/>
    <s v="Normal"/>
    <x v="0"/>
    <x v="5"/>
    <n v="81.37"/>
    <n v="2"/>
    <n v="8.1370000000000005"/>
    <n v="170.87700000000001"/>
    <x v="53"/>
    <d v="1899-12-30T19:28:00"/>
    <x v="1"/>
    <n v="162.74"/>
    <n v="4.7619047620000003"/>
    <n v="8.1370000000000005"/>
    <n v="6.5"/>
  </r>
  <r>
    <s v="545-46-3100"/>
    <x v="2"/>
    <x v="2"/>
    <s v="Member"/>
    <x v="0"/>
    <x v="1"/>
    <n v="10.59"/>
    <n v="3"/>
    <n v="1.5885"/>
    <n v="33.358499999999999"/>
    <x v="41"/>
    <d v="1899-12-30T13:52:00"/>
    <x v="2"/>
    <n v="31.77"/>
    <n v="4.7619047620000003"/>
    <n v="1.5885"/>
    <n v="8.6999999999999993"/>
  </r>
  <r>
    <s v="418-02-5978"/>
    <x v="2"/>
    <x v="2"/>
    <s v="Normal"/>
    <x v="0"/>
    <x v="0"/>
    <n v="84.09"/>
    <n v="9"/>
    <n v="37.840499999999999"/>
    <n v="794.65049999999997"/>
    <x v="48"/>
    <d v="1899-12-30T10:54:00"/>
    <x v="1"/>
    <n v="756.81"/>
    <n v="4.7619047620000003"/>
    <n v="37.840499999999999"/>
    <n v="8"/>
  </r>
  <r>
    <s v="269-04-5750"/>
    <x v="2"/>
    <x v="2"/>
    <s v="Member"/>
    <x v="1"/>
    <x v="5"/>
    <n v="73.819999999999993"/>
    <n v="4"/>
    <n v="14.763999999999999"/>
    <n v="310.04399999999998"/>
    <x v="81"/>
    <d v="1899-12-30T18:31:00"/>
    <x v="1"/>
    <n v="295.27999999999997"/>
    <n v="4.7619047620000003"/>
    <n v="14.763999999999999"/>
    <n v="6.7"/>
  </r>
  <r>
    <s v="157-13-5295"/>
    <x v="0"/>
    <x v="0"/>
    <s v="Member"/>
    <x v="1"/>
    <x v="0"/>
    <n v="51.94"/>
    <n v="10"/>
    <n v="25.97"/>
    <n v="545.37"/>
    <x v="11"/>
    <d v="1899-12-30T18:24:00"/>
    <x v="0"/>
    <n v="519.4"/>
    <n v="4.7619047620000003"/>
    <n v="25.97"/>
    <n v="6.5"/>
  </r>
  <r>
    <s v="645-78-8093"/>
    <x v="0"/>
    <x v="0"/>
    <s v="Normal"/>
    <x v="0"/>
    <x v="3"/>
    <n v="93.14"/>
    <n v="2"/>
    <n v="9.3140000000000001"/>
    <n v="195.59399999999999"/>
    <x v="40"/>
    <d v="1899-12-30T18:09:00"/>
    <x v="0"/>
    <n v="186.28"/>
    <n v="4.7619047620000003"/>
    <n v="9.3140000000000001"/>
    <n v="4.0999999999999996"/>
  </r>
  <r>
    <s v="211-30-9270"/>
    <x v="1"/>
    <x v="1"/>
    <s v="Normal"/>
    <x v="1"/>
    <x v="0"/>
    <n v="17.41"/>
    <n v="5"/>
    <n v="4.3525"/>
    <n v="91.402500000000003"/>
    <x v="26"/>
    <d v="1899-12-30T15:16:00"/>
    <x v="2"/>
    <n v="87.05"/>
    <n v="4.7619047620000003"/>
    <n v="4.3525"/>
    <n v="4.9000000000000004"/>
  </r>
  <r>
    <s v="755-12-3214"/>
    <x v="1"/>
    <x v="1"/>
    <s v="Member"/>
    <x v="0"/>
    <x v="5"/>
    <n v="44.22"/>
    <n v="5"/>
    <n v="11.055"/>
    <n v="232.155"/>
    <x v="19"/>
    <d v="1899-12-30T17:07:00"/>
    <x v="2"/>
    <n v="221.1"/>
    <n v="4.7619047620000003"/>
    <n v="11.055"/>
    <n v="8.6"/>
  </r>
  <r>
    <s v="346-84-3103"/>
    <x v="2"/>
    <x v="2"/>
    <s v="Member"/>
    <x v="0"/>
    <x v="1"/>
    <n v="13.22"/>
    <n v="5"/>
    <n v="3.3050000000000002"/>
    <n v="69.405000000000001"/>
    <x v="22"/>
    <d v="1899-12-30T19:26:00"/>
    <x v="1"/>
    <n v="66.099999999999994"/>
    <n v="4.7619047620000003"/>
    <n v="3.3050000000000002"/>
    <n v="4.3"/>
  </r>
  <r>
    <s v="478-06-7835"/>
    <x v="0"/>
    <x v="0"/>
    <s v="Normal"/>
    <x v="1"/>
    <x v="5"/>
    <n v="89.69"/>
    <n v="1"/>
    <n v="4.4844999999999997"/>
    <n v="94.174499999999995"/>
    <x v="83"/>
    <d v="1899-12-30T11:20:00"/>
    <x v="0"/>
    <n v="89.69"/>
    <n v="4.7619047620000003"/>
    <n v="4.4844999999999997"/>
    <n v="4.9000000000000004"/>
  </r>
  <r>
    <s v="540-11-4336"/>
    <x v="0"/>
    <x v="0"/>
    <s v="Normal"/>
    <x v="1"/>
    <x v="4"/>
    <n v="24.94"/>
    <n v="9"/>
    <n v="11.223000000000001"/>
    <n v="235.68299999999999"/>
    <x v="83"/>
    <d v="1899-12-30T16:49:00"/>
    <x v="2"/>
    <n v="224.46"/>
    <n v="4.7619047620000003"/>
    <n v="11.223000000000001"/>
    <n v="5.6"/>
  </r>
  <r>
    <s v="448-81-5016"/>
    <x v="0"/>
    <x v="0"/>
    <s v="Normal"/>
    <x v="1"/>
    <x v="0"/>
    <n v="59.77"/>
    <n v="2"/>
    <n v="5.9770000000000003"/>
    <n v="125.517"/>
    <x v="16"/>
    <d v="1899-12-30T12:01:00"/>
    <x v="2"/>
    <n v="119.54"/>
    <n v="4.7619047620000003"/>
    <n v="5.9770000000000003"/>
    <n v="5.8"/>
  </r>
  <r>
    <s v="142-72-4741"/>
    <x v="1"/>
    <x v="1"/>
    <s v="Member"/>
    <x v="1"/>
    <x v="5"/>
    <n v="93.2"/>
    <n v="2"/>
    <n v="9.32"/>
    <n v="195.72"/>
    <x v="38"/>
    <d v="1899-12-30T18:37:00"/>
    <x v="2"/>
    <n v="186.4"/>
    <n v="4.7619047620000003"/>
    <n v="9.32"/>
    <n v="6"/>
  </r>
  <r>
    <s v="217-58-1179"/>
    <x v="0"/>
    <x v="0"/>
    <s v="Member"/>
    <x v="1"/>
    <x v="2"/>
    <n v="62.65"/>
    <n v="4"/>
    <n v="12.53"/>
    <n v="263.13"/>
    <x v="0"/>
    <d v="1899-12-30T11:25:00"/>
    <x v="1"/>
    <n v="250.6"/>
    <n v="4.7619047620000003"/>
    <n v="12.53"/>
    <n v="4.2"/>
  </r>
  <r>
    <s v="376-02-8238"/>
    <x v="2"/>
    <x v="2"/>
    <s v="Normal"/>
    <x v="1"/>
    <x v="2"/>
    <n v="93.87"/>
    <n v="8"/>
    <n v="37.548000000000002"/>
    <n v="788.50800000000004"/>
    <x v="30"/>
    <d v="1899-12-30T18:42:00"/>
    <x v="2"/>
    <n v="750.96"/>
    <n v="4.7619047620000003"/>
    <n v="37.548000000000002"/>
    <n v="8.3000000000000007"/>
  </r>
  <r>
    <s v="530-90-9855"/>
    <x v="0"/>
    <x v="0"/>
    <s v="Member"/>
    <x v="1"/>
    <x v="2"/>
    <n v="47.59"/>
    <n v="8"/>
    <n v="19.036000000000001"/>
    <n v="399.75599999999997"/>
    <x v="17"/>
    <d v="1899-12-30T14:47:00"/>
    <x v="1"/>
    <n v="380.72"/>
    <n v="4.7619047620000003"/>
    <n v="19.036000000000001"/>
    <n v="5.7"/>
  </r>
  <r>
    <s v="866-05-7563"/>
    <x v="2"/>
    <x v="2"/>
    <s v="Member"/>
    <x v="0"/>
    <x v="1"/>
    <n v="81.400000000000006"/>
    <n v="3"/>
    <n v="12.21"/>
    <n v="256.41000000000003"/>
    <x v="57"/>
    <d v="1899-12-30T19:43:00"/>
    <x v="1"/>
    <n v="244.2"/>
    <n v="4.7619047620000003"/>
    <n v="12.21"/>
    <n v="4.8"/>
  </r>
  <r>
    <s v="604-70-6476"/>
    <x v="0"/>
    <x v="0"/>
    <s v="Member"/>
    <x v="1"/>
    <x v="5"/>
    <n v="17.940000000000001"/>
    <n v="5"/>
    <n v="4.4850000000000003"/>
    <n v="94.185000000000002"/>
    <x v="54"/>
    <d v="1899-12-30T14:04:00"/>
    <x v="0"/>
    <n v="89.7"/>
    <n v="4.7619047620000003"/>
    <n v="4.4850000000000003"/>
    <n v="6.8"/>
  </r>
  <r>
    <s v="799-71-1548"/>
    <x v="0"/>
    <x v="0"/>
    <s v="Member"/>
    <x v="1"/>
    <x v="1"/>
    <n v="77.72"/>
    <n v="4"/>
    <n v="15.544"/>
    <n v="326.42399999999998"/>
    <x v="27"/>
    <d v="1899-12-30T16:11:00"/>
    <x v="2"/>
    <n v="310.88"/>
    <n v="4.7619047620000003"/>
    <n v="15.544"/>
    <n v="8.8000000000000007"/>
  </r>
  <r>
    <s v="785-13-7708"/>
    <x v="2"/>
    <x v="2"/>
    <s v="Normal"/>
    <x v="1"/>
    <x v="4"/>
    <n v="73.06"/>
    <n v="7"/>
    <n v="25.571000000000002"/>
    <n v="536.99099999999999"/>
    <x v="78"/>
    <d v="1899-12-30T19:06:00"/>
    <x v="2"/>
    <n v="511.42"/>
    <n v="4.7619047620000003"/>
    <n v="25.571000000000002"/>
    <n v="4.2"/>
  </r>
  <r>
    <s v="845-51-0542"/>
    <x v="2"/>
    <x v="2"/>
    <s v="Member"/>
    <x v="1"/>
    <x v="4"/>
    <n v="46.55"/>
    <n v="9"/>
    <n v="20.947500000000002"/>
    <n v="439.89749999999998"/>
    <x v="30"/>
    <d v="1899-12-30T15:34:00"/>
    <x v="0"/>
    <n v="418.95"/>
    <n v="4.7619047620000003"/>
    <n v="20.947500000000002"/>
    <n v="6.4"/>
  </r>
  <r>
    <s v="662-47-5456"/>
    <x v="1"/>
    <x v="1"/>
    <s v="Member"/>
    <x v="1"/>
    <x v="5"/>
    <n v="35.19"/>
    <n v="10"/>
    <n v="17.594999999999999"/>
    <n v="369.495"/>
    <x v="85"/>
    <d v="1899-12-30T19:06:00"/>
    <x v="2"/>
    <n v="351.9"/>
    <n v="4.7619047620000003"/>
    <n v="17.594999999999999"/>
    <n v="8.4"/>
  </r>
  <r>
    <s v="883-17-4236"/>
    <x v="1"/>
    <x v="1"/>
    <s v="Normal"/>
    <x v="0"/>
    <x v="3"/>
    <n v="14.39"/>
    <n v="2"/>
    <n v="1.4390000000000001"/>
    <n v="30.219000000000001"/>
    <x v="22"/>
    <d v="1899-12-30T19:44:00"/>
    <x v="2"/>
    <n v="28.78"/>
    <n v="4.7619047620000003"/>
    <n v="1.4390000000000001"/>
    <n v="7.2"/>
  </r>
  <r>
    <s v="290-68-2984"/>
    <x v="0"/>
    <x v="0"/>
    <s v="Normal"/>
    <x v="1"/>
    <x v="2"/>
    <n v="23.75"/>
    <n v="4"/>
    <n v="4.75"/>
    <n v="99.75"/>
    <x v="32"/>
    <d v="1899-12-30T11:22:00"/>
    <x v="1"/>
    <n v="95"/>
    <n v="4.7619047620000003"/>
    <n v="4.75"/>
    <n v="5.2"/>
  </r>
  <r>
    <s v="704-11-6354"/>
    <x v="0"/>
    <x v="0"/>
    <s v="Member"/>
    <x v="1"/>
    <x v="2"/>
    <n v="58.9"/>
    <n v="8"/>
    <n v="23.56"/>
    <n v="494.76"/>
    <x v="47"/>
    <d v="1899-12-30T11:23:00"/>
    <x v="1"/>
    <n v="471.2"/>
    <n v="4.7619047620000003"/>
    <n v="23.56"/>
    <n v="8.9"/>
  </r>
  <r>
    <s v="110-48-7033"/>
    <x v="2"/>
    <x v="2"/>
    <s v="Member"/>
    <x v="1"/>
    <x v="5"/>
    <n v="32.619999999999997"/>
    <n v="4"/>
    <n v="6.524"/>
    <n v="137.00399999999999"/>
    <x v="71"/>
    <d v="1899-12-30T14:12:00"/>
    <x v="1"/>
    <n v="130.47999999999999"/>
    <n v="4.7619047620000003"/>
    <n v="6.524"/>
    <n v="9"/>
  </r>
  <r>
    <s v="366-93-0948"/>
    <x v="0"/>
    <x v="0"/>
    <s v="Member"/>
    <x v="1"/>
    <x v="1"/>
    <n v="66.349999999999994"/>
    <n v="1"/>
    <n v="3.3174999999999999"/>
    <n v="69.667500000000004"/>
    <x v="82"/>
    <d v="1899-12-30T10:46:00"/>
    <x v="2"/>
    <n v="66.349999999999994"/>
    <n v="4.7619047620000003"/>
    <n v="3.3174999999999999"/>
    <n v="9.6999999999999993"/>
  </r>
  <r>
    <s v="729-09-9681"/>
    <x v="0"/>
    <x v="0"/>
    <s v="Member"/>
    <x v="1"/>
    <x v="2"/>
    <n v="25.91"/>
    <n v="6"/>
    <n v="7.7729999999999997"/>
    <n v="163.233"/>
    <x v="63"/>
    <d v="1899-12-30T10:16:00"/>
    <x v="0"/>
    <n v="155.46"/>
    <n v="4.7619047620000003"/>
    <n v="7.7729999999999997"/>
    <n v="8.6999999999999993"/>
  </r>
  <r>
    <s v="151-16-1484"/>
    <x v="0"/>
    <x v="0"/>
    <s v="Member"/>
    <x v="1"/>
    <x v="1"/>
    <n v="32.25"/>
    <n v="4"/>
    <n v="6.45"/>
    <n v="135.44999999999999"/>
    <x v="77"/>
    <d v="1899-12-30T12:38:00"/>
    <x v="0"/>
    <n v="129"/>
    <n v="4.7619047620000003"/>
    <n v="6.45"/>
    <n v="6.5"/>
  </r>
  <r>
    <s v="380-94-4661"/>
    <x v="1"/>
    <x v="1"/>
    <s v="Member"/>
    <x v="1"/>
    <x v="1"/>
    <n v="65.94"/>
    <n v="4"/>
    <n v="13.188000000000001"/>
    <n v="276.94799999999998"/>
    <x v="13"/>
    <d v="1899-12-30T13:05:00"/>
    <x v="2"/>
    <n v="263.76"/>
    <n v="4.7619047620000003"/>
    <n v="13.188000000000001"/>
    <n v="6.9"/>
  </r>
  <r>
    <s v="850-41-9669"/>
    <x v="0"/>
    <x v="0"/>
    <s v="Normal"/>
    <x v="0"/>
    <x v="1"/>
    <n v="75.06"/>
    <n v="9"/>
    <n v="33.777000000000001"/>
    <n v="709.31700000000001"/>
    <x v="35"/>
    <d v="1899-12-30T13:25:00"/>
    <x v="0"/>
    <n v="675.54"/>
    <n v="4.7619047620000003"/>
    <n v="33.777000000000001"/>
    <n v="6.2"/>
  </r>
  <r>
    <s v="821-07-3596"/>
    <x v="1"/>
    <x v="1"/>
    <s v="Normal"/>
    <x v="0"/>
    <x v="5"/>
    <n v="16.45"/>
    <n v="4"/>
    <n v="3.29"/>
    <n v="69.09"/>
    <x v="37"/>
    <d v="1899-12-30T14:53:00"/>
    <x v="0"/>
    <n v="65.8"/>
    <n v="4.7619047620000003"/>
    <n v="3.29"/>
    <n v="5.6"/>
  </r>
  <r>
    <s v="655-85-5130"/>
    <x v="2"/>
    <x v="2"/>
    <s v="Member"/>
    <x v="0"/>
    <x v="5"/>
    <n v="38.299999999999997"/>
    <n v="4"/>
    <n v="7.66"/>
    <n v="160.86000000000001"/>
    <x v="45"/>
    <d v="1899-12-30T19:22:00"/>
    <x v="1"/>
    <n v="153.19999999999999"/>
    <n v="4.7619047620000003"/>
    <n v="7.66"/>
    <n v="5.7"/>
  </r>
  <r>
    <s v="447-15-7839"/>
    <x v="0"/>
    <x v="0"/>
    <s v="Member"/>
    <x v="0"/>
    <x v="3"/>
    <n v="22.24"/>
    <n v="10"/>
    <n v="11.12"/>
    <n v="233.52"/>
    <x v="57"/>
    <d v="1899-12-30T11:00:00"/>
    <x v="1"/>
    <n v="222.4"/>
    <n v="4.7619047620000003"/>
    <n v="11.12"/>
    <n v="4.2"/>
  </r>
  <r>
    <s v="154-74-7179"/>
    <x v="2"/>
    <x v="2"/>
    <s v="Normal"/>
    <x v="1"/>
    <x v="3"/>
    <n v="54.45"/>
    <n v="1"/>
    <n v="2.7225000000000001"/>
    <n v="57.172499999999999"/>
    <x v="84"/>
    <d v="1899-12-30T19:24:00"/>
    <x v="0"/>
    <n v="54.45"/>
    <n v="4.7619047620000003"/>
    <n v="2.7225000000000001"/>
    <n v="7.9"/>
  </r>
  <r>
    <s v="253-12-6086"/>
    <x v="0"/>
    <x v="0"/>
    <s v="Member"/>
    <x v="0"/>
    <x v="3"/>
    <n v="98.4"/>
    <n v="7"/>
    <n v="34.44"/>
    <n v="723.24"/>
    <x v="41"/>
    <d v="1899-12-30T12:43:00"/>
    <x v="2"/>
    <n v="688.8"/>
    <n v="4.7619047620000003"/>
    <n v="34.44"/>
    <n v="8.6999999999999993"/>
  </r>
  <r>
    <s v="808-65-0703"/>
    <x v="1"/>
    <x v="1"/>
    <s v="Normal"/>
    <x v="1"/>
    <x v="2"/>
    <n v="35.47"/>
    <n v="4"/>
    <n v="7.0940000000000003"/>
    <n v="148.97399999999999"/>
    <x v="86"/>
    <d v="1899-12-30T17:22:00"/>
    <x v="2"/>
    <n v="141.88"/>
    <n v="4.7619047620000003"/>
    <n v="7.0940000000000003"/>
    <n v="6.9"/>
  </r>
  <r>
    <s v="571-94-0759"/>
    <x v="2"/>
    <x v="2"/>
    <s v="Member"/>
    <x v="0"/>
    <x v="4"/>
    <n v="74.599999999999994"/>
    <n v="10"/>
    <n v="37.299999999999997"/>
    <n v="783.3"/>
    <x v="66"/>
    <d v="1899-12-30T20:55:00"/>
    <x v="1"/>
    <n v="746"/>
    <n v="4.7619047620000003"/>
    <n v="37.299999999999997"/>
    <n v="9.5"/>
  </r>
  <r>
    <s v="144-51-6085"/>
    <x v="0"/>
    <x v="0"/>
    <s v="Member"/>
    <x v="1"/>
    <x v="2"/>
    <n v="70.739999999999995"/>
    <n v="4"/>
    <n v="14.148"/>
    <n v="297.108"/>
    <x v="0"/>
    <d v="1899-12-30T16:05:00"/>
    <x v="2"/>
    <n v="282.95999999999998"/>
    <n v="4.7619047620000003"/>
    <n v="14.148"/>
    <n v="4.4000000000000004"/>
  </r>
  <r>
    <s v="731-14-2199"/>
    <x v="0"/>
    <x v="0"/>
    <s v="Member"/>
    <x v="0"/>
    <x v="2"/>
    <n v="35.54"/>
    <n v="10"/>
    <n v="17.77"/>
    <n v="373.17"/>
    <x v="72"/>
    <d v="1899-12-30T13:34:00"/>
    <x v="0"/>
    <n v="355.4"/>
    <n v="4.7619047620000003"/>
    <n v="17.77"/>
    <n v="7"/>
  </r>
  <r>
    <s v="783-09-1637"/>
    <x v="2"/>
    <x v="2"/>
    <s v="Normal"/>
    <x v="0"/>
    <x v="3"/>
    <n v="67.430000000000007"/>
    <n v="5"/>
    <n v="16.857500000000002"/>
    <n v="354.00749999999999"/>
    <x v="43"/>
    <d v="1899-12-30T18:13:00"/>
    <x v="0"/>
    <n v="337.15"/>
    <n v="4.7619047620000003"/>
    <n v="16.857500000000002"/>
    <n v="6.3"/>
  </r>
  <r>
    <s v="687-15-1097"/>
    <x v="1"/>
    <x v="1"/>
    <s v="Member"/>
    <x v="0"/>
    <x v="0"/>
    <n v="21.12"/>
    <n v="2"/>
    <n v="2.1120000000000001"/>
    <n v="44.351999999999997"/>
    <x v="75"/>
    <d v="1899-12-30T19:17:00"/>
    <x v="1"/>
    <n v="42.24"/>
    <n v="4.7619047620000003"/>
    <n v="2.1120000000000001"/>
    <n v="9.6999999999999993"/>
  </r>
  <r>
    <s v="126-54-1082"/>
    <x v="0"/>
    <x v="0"/>
    <s v="Member"/>
    <x v="0"/>
    <x v="2"/>
    <n v="21.54"/>
    <n v="9"/>
    <n v="9.6929999999999996"/>
    <n v="203.553"/>
    <x v="27"/>
    <d v="1899-12-30T11:44:00"/>
    <x v="2"/>
    <n v="193.86"/>
    <n v="4.7619047620000003"/>
    <n v="9.6929999999999996"/>
    <n v="8.8000000000000007"/>
  </r>
  <r>
    <s v="633-91-1052"/>
    <x v="0"/>
    <x v="0"/>
    <s v="Normal"/>
    <x v="0"/>
    <x v="2"/>
    <n v="12.03"/>
    <n v="2"/>
    <n v="1.2030000000000001"/>
    <n v="25.263000000000002"/>
    <x v="3"/>
    <d v="1899-12-30T15:51:00"/>
    <x v="1"/>
    <n v="24.06"/>
    <n v="4.7619047620000003"/>
    <n v="1.2030000000000001"/>
    <n v="5.0999999999999996"/>
  </r>
  <r>
    <s v="477-24-6490"/>
    <x v="2"/>
    <x v="2"/>
    <s v="Normal"/>
    <x v="0"/>
    <x v="0"/>
    <n v="99.71"/>
    <n v="6"/>
    <n v="29.913"/>
    <n v="628.173"/>
    <x v="84"/>
    <d v="1899-12-30T16:52:00"/>
    <x v="0"/>
    <n v="598.26"/>
    <n v="4.7619047620000003"/>
    <n v="29.913"/>
    <n v="7.9"/>
  </r>
  <r>
    <s v="566-19-5475"/>
    <x v="2"/>
    <x v="2"/>
    <s v="Normal"/>
    <x v="1"/>
    <x v="5"/>
    <n v="47.97"/>
    <n v="7"/>
    <n v="16.7895"/>
    <n v="352.5795"/>
    <x v="27"/>
    <d v="1899-12-30T20:52:00"/>
    <x v="1"/>
    <n v="335.79"/>
    <n v="4.7619047620000003"/>
    <n v="16.7895"/>
    <n v="6.2"/>
  </r>
  <r>
    <s v="526-86-8552"/>
    <x v="1"/>
    <x v="1"/>
    <s v="Member"/>
    <x v="0"/>
    <x v="2"/>
    <n v="21.82"/>
    <n v="10"/>
    <n v="10.91"/>
    <n v="229.11"/>
    <x v="27"/>
    <d v="1899-12-30T17:36:00"/>
    <x v="1"/>
    <n v="218.2"/>
    <n v="4.7619047620000003"/>
    <n v="10.91"/>
    <n v="7.1"/>
  </r>
  <r>
    <s v="376-56-3573"/>
    <x v="1"/>
    <x v="1"/>
    <s v="Normal"/>
    <x v="0"/>
    <x v="5"/>
    <n v="95.42"/>
    <n v="4"/>
    <n v="19.084"/>
    <n v="400.76400000000001"/>
    <x v="30"/>
    <d v="1899-12-30T13:23:00"/>
    <x v="0"/>
    <n v="381.68"/>
    <n v="4.7619047620000003"/>
    <n v="19.084"/>
    <n v="6.4"/>
  </r>
  <r>
    <s v="537-72-0426"/>
    <x v="1"/>
    <x v="1"/>
    <s v="Member"/>
    <x v="1"/>
    <x v="5"/>
    <n v="70.989999999999995"/>
    <n v="10"/>
    <n v="35.494999999999997"/>
    <n v="745.39499999999998"/>
    <x v="80"/>
    <d v="1899-12-30T16:28:00"/>
    <x v="1"/>
    <n v="709.9"/>
    <n v="4.7619047620000003"/>
    <n v="35.494999999999997"/>
    <n v="5.7"/>
  </r>
  <r>
    <s v="828-61-5674"/>
    <x v="0"/>
    <x v="0"/>
    <s v="Member"/>
    <x v="1"/>
    <x v="3"/>
    <n v="44.02"/>
    <n v="10"/>
    <n v="22.01"/>
    <n v="462.21"/>
    <x v="80"/>
    <d v="1899-12-30T19:57:00"/>
    <x v="2"/>
    <n v="440.2"/>
    <n v="4.7619047620000003"/>
    <n v="22.01"/>
    <n v="9.6"/>
  </r>
  <r>
    <s v="136-08-6195"/>
    <x v="0"/>
    <x v="0"/>
    <s v="Normal"/>
    <x v="0"/>
    <x v="2"/>
    <n v="69.959999999999994"/>
    <n v="8"/>
    <n v="27.984000000000002"/>
    <n v="587.66399999999999"/>
    <x v="42"/>
    <d v="1899-12-30T17:01:00"/>
    <x v="2"/>
    <n v="559.67999999999995"/>
    <n v="4.7619047620000003"/>
    <n v="27.984000000000002"/>
    <n v="6.4"/>
  </r>
  <r>
    <s v="523-38-0215"/>
    <x v="1"/>
    <x v="1"/>
    <s v="Normal"/>
    <x v="1"/>
    <x v="2"/>
    <n v="37"/>
    <n v="1"/>
    <n v="1.85"/>
    <n v="38.85"/>
    <x v="43"/>
    <d v="1899-12-30T13:29:00"/>
    <x v="2"/>
    <n v="37"/>
    <n v="4.7619047620000003"/>
    <n v="1.85"/>
    <n v="7.9"/>
  </r>
  <r>
    <s v="490-29-1201"/>
    <x v="0"/>
    <x v="0"/>
    <s v="Normal"/>
    <x v="0"/>
    <x v="3"/>
    <n v="15.34"/>
    <n v="1"/>
    <n v="0.76700000000000002"/>
    <n v="16.106999999999999"/>
    <x v="47"/>
    <d v="1899-12-30T11:09:00"/>
    <x v="1"/>
    <n v="15.34"/>
    <n v="4.7619047620000003"/>
    <n v="0.76700000000000002"/>
    <n v="6.5"/>
  </r>
  <r>
    <s v="667-92-0055"/>
    <x v="0"/>
    <x v="0"/>
    <s v="Member"/>
    <x v="1"/>
    <x v="0"/>
    <n v="99.83"/>
    <n v="6"/>
    <n v="29.949000000000002"/>
    <n v="628.92899999999997"/>
    <x v="31"/>
    <d v="1899-12-30T15:02:00"/>
    <x v="0"/>
    <n v="598.98"/>
    <n v="4.7619047620000003"/>
    <n v="29.949000000000002"/>
    <n v="8.5"/>
  </r>
  <r>
    <s v="565-17-3836"/>
    <x v="0"/>
    <x v="0"/>
    <s v="Member"/>
    <x v="0"/>
    <x v="0"/>
    <n v="47.67"/>
    <n v="4"/>
    <n v="9.5340000000000007"/>
    <n v="200.214"/>
    <x v="41"/>
    <d v="1899-12-30T14:21:00"/>
    <x v="1"/>
    <n v="190.68"/>
    <n v="4.7619047620000003"/>
    <n v="9.5340000000000007"/>
    <n v="9.1"/>
  </r>
  <r>
    <s v="498-41-1961"/>
    <x v="2"/>
    <x v="2"/>
    <s v="Normal"/>
    <x v="1"/>
    <x v="0"/>
    <n v="66.680000000000007"/>
    <n v="5"/>
    <n v="16.670000000000002"/>
    <n v="350.07"/>
    <x v="9"/>
    <d v="1899-12-30T18:01:00"/>
    <x v="1"/>
    <n v="333.4"/>
    <n v="4.7619047620000003"/>
    <n v="16.670000000000002"/>
    <n v="7.6"/>
  </r>
  <r>
    <s v="593-95-4461"/>
    <x v="1"/>
    <x v="1"/>
    <s v="Member"/>
    <x v="1"/>
    <x v="2"/>
    <n v="74.86"/>
    <n v="1"/>
    <n v="3.7429999999999999"/>
    <n v="78.602999999999994"/>
    <x v="62"/>
    <d v="1899-12-30T14:49:00"/>
    <x v="1"/>
    <n v="74.86"/>
    <n v="4.7619047620000003"/>
    <n v="3.7429999999999999"/>
    <n v="6.9"/>
  </r>
  <r>
    <s v="226-71-3580"/>
    <x v="1"/>
    <x v="1"/>
    <s v="Normal"/>
    <x v="0"/>
    <x v="3"/>
    <n v="23.75"/>
    <n v="9"/>
    <n v="10.6875"/>
    <n v="224.4375"/>
    <x v="82"/>
    <d v="1899-12-30T12:02:00"/>
    <x v="1"/>
    <n v="213.75"/>
    <n v="4.7619047620000003"/>
    <n v="10.6875"/>
    <n v="9.5"/>
  </r>
  <r>
    <s v="283-79-9594"/>
    <x v="2"/>
    <x v="2"/>
    <s v="Normal"/>
    <x v="0"/>
    <x v="4"/>
    <n v="48.51"/>
    <n v="7"/>
    <n v="16.9785"/>
    <n v="356.54849999999999"/>
    <x v="25"/>
    <d v="1899-12-30T13:30:00"/>
    <x v="2"/>
    <n v="339.57"/>
    <n v="4.7619047620000003"/>
    <n v="16.9785"/>
    <n v="5.2"/>
  </r>
  <r>
    <s v="430-60-3493"/>
    <x v="0"/>
    <x v="0"/>
    <s v="Member"/>
    <x v="0"/>
    <x v="2"/>
    <n v="94.88"/>
    <n v="7"/>
    <n v="33.207999999999998"/>
    <n v="697.36800000000005"/>
    <x v="36"/>
    <d v="1899-12-30T14:38:00"/>
    <x v="1"/>
    <n v="664.16"/>
    <n v="4.7619047620000003"/>
    <n v="33.207999999999998"/>
    <n v="4.2"/>
  </r>
  <r>
    <s v="139-20-0155"/>
    <x v="2"/>
    <x v="2"/>
    <s v="Member"/>
    <x v="1"/>
    <x v="1"/>
    <n v="40.299999999999997"/>
    <n v="10"/>
    <n v="20.149999999999999"/>
    <n v="423.15"/>
    <x v="46"/>
    <d v="1899-12-30T17:37:00"/>
    <x v="2"/>
    <n v="403"/>
    <n v="4.7619047620000003"/>
    <n v="20.149999999999999"/>
    <n v="7"/>
  </r>
  <r>
    <s v="558-80-4082"/>
    <x v="1"/>
    <x v="1"/>
    <s v="Normal"/>
    <x v="1"/>
    <x v="1"/>
    <n v="27.85"/>
    <n v="7"/>
    <n v="9.7475000000000005"/>
    <n v="204.69749999999999"/>
    <x v="86"/>
    <d v="1899-12-30T17:20:00"/>
    <x v="0"/>
    <n v="194.95"/>
    <n v="4.7619047620000003"/>
    <n v="9.7475000000000005"/>
    <n v="6"/>
  </r>
  <r>
    <s v="278-97-7759"/>
    <x v="0"/>
    <x v="0"/>
    <s v="Member"/>
    <x v="0"/>
    <x v="1"/>
    <n v="62.48"/>
    <n v="1"/>
    <n v="3.1240000000000001"/>
    <n v="65.603999999999999"/>
    <x v="67"/>
    <d v="1899-12-30T20:29:00"/>
    <x v="1"/>
    <n v="62.48"/>
    <n v="4.7619047620000003"/>
    <n v="3.1240000000000001"/>
    <n v="4.7"/>
  </r>
  <r>
    <s v="316-68-6352"/>
    <x v="0"/>
    <x v="0"/>
    <s v="Member"/>
    <x v="0"/>
    <x v="4"/>
    <n v="36.36"/>
    <n v="2"/>
    <n v="3.6360000000000001"/>
    <n v="76.355999999999995"/>
    <x v="18"/>
    <d v="1899-12-30T10:00:00"/>
    <x v="1"/>
    <n v="72.72"/>
    <n v="4.7619047620000003"/>
    <n v="3.6360000000000001"/>
    <n v="7.1"/>
  </r>
  <r>
    <s v="585-03-5943"/>
    <x v="2"/>
    <x v="2"/>
    <s v="Normal"/>
    <x v="1"/>
    <x v="0"/>
    <n v="18.11"/>
    <n v="10"/>
    <n v="9.0549999999999997"/>
    <n v="190.155"/>
    <x v="45"/>
    <d v="1899-12-30T11:46:00"/>
    <x v="0"/>
    <n v="181.1"/>
    <n v="4.7619047620000003"/>
    <n v="9.0549999999999997"/>
    <n v="5.9"/>
  </r>
  <r>
    <s v="211-05-0490"/>
    <x v="1"/>
    <x v="1"/>
    <s v="Member"/>
    <x v="0"/>
    <x v="1"/>
    <n v="51.92"/>
    <n v="5"/>
    <n v="12.98"/>
    <n v="272.58"/>
    <x v="2"/>
    <d v="1899-12-30T13:42:00"/>
    <x v="1"/>
    <n v="259.60000000000002"/>
    <n v="4.7619047620000003"/>
    <n v="12.98"/>
    <n v="7.5"/>
  </r>
  <r>
    <s v="727-75-6477"/>
    <x v="1"/>
    <x v="1"/>
    <s v="Normal"/>
    <x v="1"/>
    <x v="1"/>
    <n v="28.84"/>
    <n v="4"/>
    <n v="5.7679999999999998"/>
    <n v="121.128"/>
    <x v="14"/>
    <d v="1899-12-30T14:44:00"/>
    <x v="1"/>
    <n v="115.36"/>
    <n v="4.7619047620000003"/>
    <n v="5.7679999999999998"/>
    <n v="6.4"/>
  </r>
  <r>
    <s v="744-02-5987"/>
    <x v="0"/>
    <x v="0"/>
    <s v="Member"/>
    <x v="1"/>
    <x v="2"/>
    <n v="78.38"/>
    <n v="6"/>
    <n v="23.513999999999999"/>
    <n v="493.79399999999998"/>
    <x v="8"/>
    <d v="1899-12-30T14:16:00"/>
    <x v="0"/>
    <n v="470.28"/>
    <n v="4.7619047620000003"/>
    <n v="23.513999999999999"/>
    <n v="5.8"/>
  </r>
  <r>
    <s v="307-83-9164"/>
    <x v="0"/>
    <x v="0"/>
    <s v="Member"/>
    <x v="1"/>
    <x v="2"/>
    <n v="60.01"/>
    <n v="4"/>
    <n v="12.002000000000001"/>
    <n v="252.042"/>
    <x v="25"/>
    <d v="1899-12-30T15:54:00"/>
    <x v="1"/>
    <n v="240.04"/>
    <n v="4.7619047620000003"/>
    <n v="12.002000000000001"/>
    <n v="4.5"/>
  </r>
  <r>
    <s v="779-06-0012"/>
    <x v="1"/>
    <x v="1"/>
    <s v="Member"/>
    <x v="0"/>
    <x v="2"/>
    <n v="88.61"/>
    <n v="1"/>
    <n v="4.4305000000000003"/>
    <n v="93.040499999999994"/>
    <x v="64"/>
    <d v="1899-12-30T10:21:00"/>
    <x v="1"/>
    <n v="88.61"/>
    <n v="4.7619047620000003"/>
    <n v="4.4305000000000003"/>
    <n v="7.7"/>
  </r>
  <r>
    <s v="446-47-6729"/>
    <x v="1"/>
    <x v="1"/>
    <s v="Normal"/>
    <x v="1"/>
    <x v="5"/>
    <n v="99.82"/>
    <n v="2"/>
    <n v="9.9819999999999993"/>
    <n v="209.62200000000001"/>
    <x v="56"/>
    <d v="1899-12-30T18:09:00"/>
    <x v="2"/>
    <n v="199.64"/>
    <n v="4.7619047620000003"/>
    <n v="9.9819999999999993"/>
    <n v="6.7"/>
  </r>
  <r>
    <s v="573-10-3877"/>
    <x v="2"/>
    <x v="2"/>
    <s v="Member"/>
    <x v="1"/>
    <x v="0"/>
    <n v="39.01"/>
    <n v="1"/>
    <n v="1.9504999999999999"/>
    <n v="40.960500000000003"/>
    <x v="41"/>
    <d v="1899-12-30T16:46:00"/>
    <x v="2"/>
    <n v="39.01"/>
    <n v="4.7619047620000003"/>
    <n v="1.9504999999999999"/>
    <n v="4.7"/>
  </r>
  <r>
    <s v="735-06-4124"/>
    <x v="1"/>
    <x v="1"/>
    <s v="Normal"/>
    <x v="1"/>
    <x v="4"/>
    <n v="48.61"/>
    <n v="1"/>
    <n v="2.4304999999999999"/>
    <n v="51.040500000000002"/>
    <x v="6"/>
    <d v="1899-12-30T15:31:00"/>
    <x v="1"/>
    <n v="48.61"/>
    <n v="4.7619047620000003"/>
    <n v="2.4304999999999999"/>
    <n v="4.4000000000000004"/>
  </r>
  <r>
    <s v="439-54-7422"/>
    <x v="0"/>
    <x v="0"/>
    <s v="Normal"/>
    <x v="0"/>
    <x v="1"/>
    <n v="51.19"/>
    <n v="4"/>
    <n v="10.238"/>
    <n v="214.99799999999999"/>
    <x v="79"/>
    <d v="1899-12-30T17:15:00"/>
    <x v="2"/>
    <n v="204.76"/>
    <n v="4.7619047620000003"/>
    <n v="10.238"/>
    <n v="4.7"/>
  </r>
  <r>
    <s v="396-90-2219"/>
    <x v="2"/>
    <x v="2"/>
    <s v="Normal"/>
    <x v="0"/>
    <x v="1"/>
    <n v="14.96"/>
    <n v="8"/>
    <n v="5.984"/>
    <n v="125.664"/>
    <x v="55"/>
    <d v="1899-12-30T12:29:00"/>
    <x v="1"/>
    <n v="119.68"/>
    <n v="4.7619047620000003"/>
    <n v="5.984"/>
    <n v="8.6"/>
  </r>
  <r>
    <s v="411-77-0180"/>
    <x v="0"/>
    <x v="0"/>
    <s v="Member"/>
    <x v="1"/>
    <x v="1"/>
    <n v="72.2"/>
    <n v="7"/>
    <n v="25.27"/>
    <n v="530.66999999999996"/>
    <x v="58"/>
    <d v="1899-12-30T20:14:00"/>
    <x v="0"/>
    <n v="505.4"/>
    <n v="4.7619047620000003"/>
    <n v="25.27"/>
    <n v="4.3"/>
  </r>
  <r>
    <s v="286-01-5402"/>
    <x v="0"/>
    <x v="0"/>
    <s v="Normal"/>
    <x v="0"/>
    <x v="3"/>
    <n v="40.229999999999997"/>
    <n v="7"/>
    <n v="14.080500000000001"/>
    <n v="295.69049999999999"/>
    <x v="73"/>
    <d v="1899-12-30T13:22:00"/>
    <x v="1"/>
    <n v="281.61"/>
    <n v="4.7619047620000003"/>
    <n v="14.080500000000001"/>
    <n v="9.6"/>
  </r>
  <r>
    <s v="803-17-8013"/>
    <x v="0"/>
    <x v="0"/>
    <s v="Member"/>
    <x v="0"/>
    <x v="2"/>
    <n v="88.79"/>
    <n v="8"/>
    <n v="35.515999999999998"/>
    <n v="745.83600000000001"/>
    <x v="21"/>
    <d v="1899-12-30T17:09:00"/>
    <x v="1"/>
    <n v="710.32"/>
    <n v="4.7619047620000003"/>
    <n v="35.515999999999998"/>
    <n v="4.0999999999999996"/>
  </r>
  <r>
    <s v="512-98-1403"/>
    <x v="0"/>
    <x v="0"/>
    <s v="Member"/>
    <x v="0"/>
    <x v="1"/>
    <n v="26.48"/>
    <n v="3"/>
    <n v="3.972"/>
    <n v="83.412000000000006"/>
    <x v="76"/>
    <d v="1899-12-30T10:40:00"/>
    <x v="0"/>
    <n v="79.44"/>
    <n v="4.7619047620000003"/>
    <n v="3.972"/>
    <n v="4.7"/>
  </r>
  <r>
    <s v="848-42-2560"/>
    <x v="0"/>
    <x v="0"/>
    <s v="Normal"/>
    <x v="0"/>
    <x v="5"/>
    <n v="81.91"/>
    <n v="2"/>
    <n v="8.1910000000000007"/>
    <n v="172.011"/>
    <x v="19"/>
    <d v="1899-12-30T17:43:00"/>
    <x v="1"/>
    <n v="163.82"/>
    <n v="4.7619047620000003"/>
    <n v="8.1910000000000007"/>
    <n v="7.8"/>
  </r>
  <r>
    <s v="532-59-7201"/>
    <x v="2"/>
    <x v="2"/>
    <s v="Member"/>
    <x v="1"/>
    <x v="3"/>
    <n v="79.930000000000007"/>
    <n v="6"/>
    <n v="23.978999999999999"/>
    <n v="503.55900000000003"/>
    <x v="82"/>
    <d v="1899-12-30T14:04:00"/>
    <x v="1"/>
    <n v="479.58"/>
    <n v="4.7619047620000003"/>
    <n v="23.978999999999999"/>
    <n v="5.5"/>
  </r>
  <r>
    <s v="181-94-6432"/>
    <x v="1"/>
    <x v="1"/>
    <s v="Member"/>
    <x v="1"/>
    <x v="5"/>
    <n v="69.33"/>
    <n v="2"/>
    <n v="6.9329999999999998"/>
    <n v="145.59299999999999"/>
    <x v="63"/>
    <d v="1899-12-30T19:05:00"/>
    <x v="0"/>
    <n v="138.66"/>
    <n v="4.7619047620000003"/>
    <n v="6.9329999999999998"/>
    <n v="9.6999999999999993"/>
  </r>
  <r>
    <s v="870-76-1733"/>
    <x v="0"/>
    <x v="0"/>
    <s v="Member"/>
    <x v="0"/>
    <x v="4"/>
    <n v="14.23"/>
    <n v="5"/>
    <n v="3.5575000000000001"/>
    <n v="74.707499999999996"/>
    <x v="60"/>
    <d v="1899-12-30T10:08:00"/>
    <x v="2"/>
    <n v="71.150000000000006"/>
    <n v="4.7619047620000003"/>
    <n v="3.5575000000000001"/>
    <n v="4.4000000000000004"/>
  </r>
  <r>
    <s v="423-64-4619"/>
    <x v="0"/>
    <x v="0"/>
    <s v="Member"/>
    <x v="0"/>
    <x v="0"/>
    <n v="15.55"/>
    <n v="9"/>
    <n v="6.9974999999999996"/>
    <n v="146.94749999999999"/>
    <x v="37"/>
    <d v="1899-12-30T13:12:00"/>
    <x v="1"/>
    <n v="139.94999999999999"/>
    <n v="4.7619047620000003"/>
    <n v="6.9974999999999996"/>
    <n v="5"/>
  </r>
  <r>
    <s v="227-07-4446"/>
    <x v="1"/>
    <x v="1"/>
    <s v="Member"/>
    <x v="0"/>
    <x v="1"/>
    <n v="78.13"/>
    <n v="10"/>
    <n v="39.064999999999998"/>
    <n v="820.36500000000001"/>
    <x v="34"/>
    <d v="1899-12-30T20:51:00"/>
    <x v="1"/>
    <n v="781.3"/>
    <n v="4.7619047620000003"/>
    <n v="39.064999999999998"/>
    <n v="4.4000000000000004"/>
  </r>
  <r>
    <s v="174-36-3675"/>
    <x v="1"/>
    <x v="1"/>
    <s v="Member"/>
    <x v="1"/>
    <x v="4"/>
    <n v="99.37"/>
    <n v="2"/>
    <n v="9.9369999999999994"/>
    <n v="208.67699999999999"/>
    <x v="44"/>
    <d v="1899-12-30T17:29:00"/>
    <x v="1"/>
    <n v="198.74"/>
    <n v="4.7619047620000003"/>
    <n v="9.9369999999999994"/>
    <n v="5.2"/>
  </r>
  <r>
    <s v="428-83-5800"/>
    <x v="1"/>
    <x v="1"/>
    <s v="Member"/>
    <x v="0"/>
    <x v="4"/>
    <n v="21.08"/>
    <n v="3"/>
    <n v="3.1619999999999999"/>
    <n v="66.402000000000001"/>
    <x v="57"/>
    <d v="1899-12-30T10:25:00"/>
    <x v="1"/>
    <n v="63.24"/>
    <n v="4.7619047620000003"/>
    <n v="3.1619999999999999"/>
    <n v="7.3"/>
  </r>
  <r>
    <s v="603-07-0961"/>
    <x v="1"/>
    <x v="1"/>
    <s v="Member"/>
    <x v="1"/>
    <x v="1"/>
    <n v="74.790000000000006"/>
    <n v="5"/>
    <n v="18.697500000000002"/>
    <n v="392.64749999999998"/>
    <x v="8"/>
    <d v="1899-12-30T11:34:00"/>
    <x v="1"/>
    <n v="373.95"/>
    <n v="4.7619047620000003"/>
    <n v="18.697500000000002"/>
    <n v="4.9000000000000004"/>
  </r>
  <r>
    <s v="704-20-4138"/>
    <x v="1"/>
    <x v="1"/>
    <s v="Member"/>
    <x v="0"/>
    <x v="0"/>
    <n v="29.67"/>
    <n v="7"/>
    <n v="10.384499999999999"/>
    <n v="218.0745"/>
    <x v="16"/>
    <d v="1899-12-30T18:58:00"/>
    <x v="2"/>
    <n v="207.69"/>
    <n v="4.7619047620000003"/>
    <n v="10.384499999999999"/>
    <n v="8.1"/>
  </r>
  <r>
    <s v="787-15-1757"/>
    <x v="1"/>
    <x v="1"/>
    <s v="Member"/>
    <x v="1"/>
    <x v="0"/>
    <n v="44.07"/>
    <n v="4"/>
    <n v="8.8140000000000001"/>
    <n v="185.09399999999999"/>
    <x v="67"/>
    <d v="1899-12-30T16:28:00"/>
    <x v="0"/>
    <n v="176.28"/>
    <n v="4.7619047620000003"/>
    <n v="8.8140000000000001"/>
    <n v="8.4"/>
  </r>
  <r>
    <s v="649-11-3678"/>
    <x v="1"/>
    <x v="1"/>
    <s v="Normal"/>
    <x v="0"/>
    <x v="4"/>
    <n v="22.93"/>
    <n v="9"/>
    <n v="10.3185"/>
    <n v="216.6885"/>
    <x v="84"/>
    <d v="1899-12-30T20:26:00"/>
    <x v="1"/>
    <n v="206.37"/>
    <n v="4.7619047620000003"/>
    <n v="10.3185"/>
    <n v="5.5"/>
  </r>
  <r>
    <s v="622-20-1945"/>
    <x v="1"/>
    <x v="1"/>
    <s v="Normal"/>
    <x v="0"/>
    <x v="0"/>
    <n v="39.42"/>
    <n v="1"/>
    <n v="1.9710000000000001"/>
    <n v="41.390999999999998"/>
    <x v="68"/>
    <d v="1899-12-30T15:08:00"/>
    <x v="1"/>
    <n v="39.42"/>
    <n v="4.7619047620000003"/>
    <n v="1.9710000000000001"/>
    <n v="8.4"/>
  </r>
  <r>
    <s v="372-94-8041"/>
    <x v="0"/>
    <x v="0"/>
    <s v="Normal"/>
    <x v="1"/>
    <x v="0"/>
    <n v="15.26"/>
    <n v="6"/>
    <n v="4.5780000000000003"/>
    <n v="96.138000000000005"/>
    <x v="42"/>
    <d v="1899-12-30T18:03:00"/>
    <x v="0"/>
    <n v="91.56"/>
    <n v="4.7619047620000003"/>
    <n v="4.5780000000000003"/>
    <n v="9.8000000000000007"/>
  </r>
  <r>
    <s v="563-91-7120"/>
    <x v="0"/>
    <x v="0"/>
    <s v="Normal"/>
    <x v="0"/>
    <x v="5"/>
    <n v="61.77"/>
    <n v="5"/>
    <n v="15.442500000000001"/>
    <n v="324.29250000000002"/>
    <x v="1"/>
    <d v="1899-12-30T13:21:00"/>
    <x v="1"/>
    <n v="308.85000000000002"/>
    <n v="4.7619047620000003"/>
    <n v="15.442500000000001"/>
    <n v="6.7"/>
  </r>
  <r>
    <s v="746-54-5508"/>
    <x v="0"/>
    <x v="0"/>
    <s v="Normal"/>
    <x v="1"/>
    <x v="2"/>
    <n v="21.52"/>
    <n v="6"/>
    <n v="6.4560000000000004"/>
    <n v="135.57599999999999"/>
    <x v="29"/>
    <d v="1899-12-30T12:48:00"/>
    <x v="2"/>
    <n v="129.12"/>
    <n v="4.7619047620000003"/>
    <n v="6.4560000000000004"/>
    <n v="9.4"/>
  </r>
  <r>
    <s v="276-54-0879"/>
    <x v="2"/>
    <x v="2"/>
    <s v="Normal"/>
    <x v="1"/>
    <x v="3"/>
    <n v="97.74"/>
    <n v="4"/>
    <n v="19.547999999999998"/>
    <n v="410.50799999999998"/>
    <x v="41"/>
    <d v="1899-12-30T19:53:00"/>
    <x v="0"/>
    <n v="390.96"/>
    <n v="4.7619047620000003"/>
    <n v="19.547999999999998"/>
    <n v="6.4"/>
  </r>
  <r>
    <s v="815-11-1168"/>
    <x v="0"/>
    <x v="0"/>
    <s v="Member"/>
    <x v="1"/>
    <x v="4"/>
    <n v="99.78"/>
    <n v="5"/>
    <n v="24.945"/>
    <n v="523.84500000000003"/>
    <x v="11"/>
    <d v="1899-12-30T19:09:00"/>
    <x v="1"/>
    <n v="498.9"/>
    <n v="4.7619047620000003"/>
    <n v="24.945"/>
    <n v="5.4"/>
  </r>
  <r>
    <s v="719-76-3868"/>
    <x v="1"/>
    <x v="1"/>
    <s v="Member"/>
    <x v="1"/>
    <x v="4"/>
    <n v="94.26"/>
    <n v="4"/>
    <n v="18.852"/>
    <n v="395.892"/>
    <x v="41"/>
    <d v="1899-12-30T16:30:00"/>
    <x v="1"/>
    <n v="377.04"/>
    <n v="4.7619047620000003"/>
    <n v="18.852"/>
    <n v="8.6"/>
  </r>
  <r>
    <s v="730-61-8757"/>
    <x v="2"/>
    <x v="2"/>
    <s v="Member"/>
    <x v="1"/>
    <x v="0"/>
    <n v="51.13"/>
    <n v="4"/>
    <n v="10.226000000000001"/>
    <n v="214.74600000000001"/>
    <x v="25"/>
    <d v="1899-12-30T10:11:00"/>
    <x v="2"/>
    <n v="204.52"/>
    <n v="4.7619047620000003"/>
    <n v="10.226000000000001"/>
    <n v="4"/>
  </r>
  <r>
    <s v="340-66-0321"/>
    <x v="0"/>
    <x v="0"/>
    <s v="Member"/>
    <x v="1"/>
    <x v="1"/>
    <n v="36.36"/>
    <n v="4"/>
    <n v="7.2720000000000002"/>
    <n v="152.71199999999999"/>
    <x v="5"/>
    <d v="1899-12-30T13:07:00"/>
    <x v="1"/>
    <n v="145.44"/>
    <n v="4.7619047620000003"/>
    <n v="7.2720000000000002"/>
    <n v="7.6"/>
  </r>
  <r>
    <s v="868-81-1752"/>
    <x v="2"/>
    <x v="2"/>
    <s v="Normal"/>
    <x v="1"/>
    <x v="2"/>
    <n v="22.02"/>
    <n v="9"/>
    <n v="9.9090000000000007"/>
    <n v="208.089"/>
    <x v="13"/>
    <d v="1899-12-30T18:48:00"/>
    <x v="1"/>
    <n v="198.18"/>
    <n v="4.7619047620000003"/>
    <n v="9.9090000000000007"/>
    <n v="6.8"/>
  </r>
  <r>
    <s v="634-97-8956"/>
    <x v="0"/>
    <x v="0"/>
    <s v="Normal"/>
    <x v="1"/>
    <x v="4"/>
    <n v="32.9"/>
    <n v="3"/>
    <n v="4.9349999999999996"/>
    <n v="103.63500000000001"/>
    <x v="21"/>
    <d v="1899-12-30T17:27:00"/>
    <x v="2"/>
    <n v="98.7"/>
    <n v="4.7619047620000003"/>
    <n v="4.9349999999999996"/>
    <n v="9.1"/>
  </r>
  <r>
    <s v="566-71-1091"/>
    <x v="0"/>
    <x v="0"/>
    <s v="Normal"/>
    <x v="1"/>
    <x v="5"/>
    <n v="77.02"/>
    <n v="5"/>
    <n v="19.254999999999999"/>
    <n v="404.35500000000002"/>
    <x v="36"/>
    <d v="1899-12-30T15:59:00"/>
    <x v="1"/>
    <n v="385.1"/>
    <n v="4.7619047620000003"/>
    <n v="19.254999999999999"/>
    <n v="5.5"/>
  </r>
  <r>
    <s v="442-48-3607"/>
    <x v="0"/>
    <x v="0"/>
    <s v="Member"/>
    <x v="1"/>
    <x v="4"/>
    <n v="23.48"/>
    <n v="2"/>
    <n v="2.3479999999999999"/>
    <n v="49.308"/>
    <x v="86"/>
    <d v="1899-12-30T11:21:00"/>
    <x v="2"/>
    <n v="46.96"/>
    <n v="4.7619047620000003"/>
    <n v="2.3479999999999999"/>
    <n v="7.9"/>
  </r>
  <r>
    <s v="835-16-0096"/>
    <x v="1"/>
    <x v="1"/>
    <s v="Member"/>
    <x v="1"/>
    <x v="3"/>
    <n v="14.7"/>
    <n v="5"/>
    <n v="3.6749999999999998"/>
    <n v="77.174999999999997"/>
    <x v="62"/>
    <d v="1899-12-30T13:48:00"/>
    <x v="0"/>
    <n v="73.5"/>
    <n v="4.7619047620000003"/>
    <n v="3.6749999999999998"/>
    <n v="8.5"/>
  </r>
  <r>
    <s v="527-09-6272"/>
    <x v="0"/>
    <x v="0"/>
    <s v="Member"/>
    <x v="0"/>
    <x v="1"/>
    <n v="28.45"/>
    <n v="5"/>
    <n v="7.1124999999999998"/>
    <n v="149.36250000000001"/>
    <x v="76"/>
    <d v="1899-12-30T10:17:00"/>
    <x v="2"/>
    <n v="142.25"/>
    <n v="4.7619047620000003"/>
    <n v="7.1124999999999998"/>
    <n v="9.1"/>
  </r>
  <r>
    <s v="898-04-2717"/>
    <x v="0"/>
    <x v="0"/>
    <s v="Normal"/>
    <x v="1"/>
    <x v="5"/>
    <n v="76.400000000000006"/>
    <n v="9"/>
    <n v="34.380000000000003"/>
    <n v="721.98"/>
    <x v="35"/>
    <d v="1899-12-30T15:49:00"/>
    <x v="0"/>
    <n v="687.6"/>
    <n v="4.7619047620000003"/>
    <n v="34.380000000000003"/>
    <n v="7.5"/>
  </r>
  <r>
    <s v="692-27-8933"/>
    <x v="2"/>
    <x v="2"/>
    <s v="Normal"/>
    <x v="0"/>
    <x v="3"/>
    <n v="57.95"/>
    <n v="6"/>
    <n v="17.385000000000002"/>
    <n v="365.08499999999998"/>
    <x v="7"/>
    <d v="1899-12-30T13:02:00"/>
    <x v="1"/>
    <n v="347.7"/>
    <n v="4.7619047620000003"/>
    <n v="17.385000000000002"/>
    <n v="5.2"/>
  </r>
  <r>
    <s v="633-09-3463"/>
    <x v="1"/>
    <x v="1"/>
    <s v="Normal"/>
    <x v="0"/>
    <x v="1"/>
    <n v="47.65"/>
    <n v="3"/>
    <n v="7.1475"/>
    <n v="150.0975"/>
    <x v="61"/>
    <d v="1899-12-30T12:58:00"/>
    <x v="2"/>
    <n v="142.94999999999999"/>
    <n v="4.7619047620000003"/>
    <n v="7.1475"/>
    <n v="9.5"/>
  </r>
  <r>
    <s v="374-17-3652"/>
    <x v="2"/>
    <x v="2"/>
    <s v="Member"/>
    <x v="0"/>
    <x v="4"/>
    <n v="42.82"/>
    <n v="9"/>
    <n v="19.268999999999998"/>
    <n v="404.649"/>
    <x v="63"/>
    <d v="1899-12-30T15:26:00"/>
    <x v="2"/>
    <n v="385.38"/>
    <n v="4.7619047620000003"/>
    <n v="19.268999999999998"/>
    <n v="8.9"/>
  </r>
  <r>
    <s v="378-07-7001"/>
    <x v="2"/>
    <x v="2"/>
    <s v="Member"/>
    <x v="1"/>
    <x v="1"/>
    <n v="48.09"/>
    <n v="3"/>
    <n v="7.2134999999999998"/>
    <n v="151.48349999999999"/>
    <x v="34"/>
    <d v="1899-12-30T18:23:00"/>
    <x v="2"/>
    <n v="144.27000000000001"/>
    <n v="4.7619047620000003"/>
    <n v="7.2134999999999998"/>
    <n v="7.8"/>
  </r>
  <r>
    <s v="433-75-6987"/>
    <x v="2"/>
    <x v="2"/>
    <s v="Member"/>
    <x v="0"/>
    <x v="0"/>
    <n v="55.97"/>
    <n v="7"/>
    <n v="19.589500000000001"/>
    <n v="411.37950000000001"/>
    <x v="19"/>
    <d v="1899-12-30T19:06:00"/>
    <x v="0"/>
    <n v="391.79"/>
    <n v="4.7619047620000003"/>
    <n v="19.589500000000001"/>
    <n v="8.9"/>
  </r>
  <r>
    <s v="873-95-4984"/>
    <x v="2"/>
    <x v="2"/>
    <s v="Member"/>
    <x v="0"/>
    <x v="0"/>
    <n v="76.900000000000006"/>
    <n v="7"/>
    <n v="26.914999999999999"/>
    <n v="565.21500000000003"/>
    <x v="42"/>
    <d v="1899-12-30T20:21:00"/>
    <x v="1"/>
    <n v="538.29999999999995"/>
    <n v="4.7619047620000003"/>
    <n v="26.914999999999999"/>
    <n v="7.7"/>
  </r>
  <r>
    <s v="416-13-5917"/>
    <x v="1"/>
    <x v="1"/>
    <s v="Normal"/>
    <x v="0"/>
    <x v="4"/>
    <n v="97.03"/>
    <n v="5"/>
    <n v="24.2575"/>
    <n v="509.40750000000003"/>
    <x v="74"/>
    <d v="1899-12-30T16:24:00"/>
    <x v="0"/>
    <n v="485.15"/>
    <n v="4.7619047620000003"/>
    <n v="24.2575"/>
    <n v="9.3000000000000007"/>
  </r>
  <r>
    <s v="150-89-8043"/>
    <x v="0"/>
    <x v="0"/>
    <s v="Normal"/>
    <x v="1"/>
    <x v="3"/>
    <n v="44.65"/>
    <n v="3"/>
    <n v="6.6974999999999998"/>
    <n v="140.64750000000001"/>
    <x v="44"/>
    <d v="1899-12-30T15:04:00"/>
    <x v="1"/>
    <n v="133.94999999999999"/>
    <n v="4.7619047620000003"/>
    <n v="6.6974999999999998"/>
    <n v="6.2"/>
  </r>
  <r>
    <s v="135-84-8019"/>
    <x v="0"/>
    <x v="0"/>
    <s v="Normal"/>
    <x v="0"/>
    <x v="5"/>
    <n v="77.930000000000007"/>
    <n v="9"/>
    <n v="35.0685"/>
    <n v="736.43849999999998"/>
    <x v="33"/>
    <d v="1899-12-30T16:10:00"/>
    <x v="0"/>
    <n v="701.37"/>
    <n v="4.7619047620000003"/>
    <n v="35.0685"/>
    <n v="7.6"/>
  </r>
  <r>
    <s v="441-94-7118"/>
    <x v="0"/>
    <x v="0"/>
    <s v="Member"/>
    <x v="1"/>
    <x v="1"/>
    <n v="71.95"/>
    <n v="1"/>
    <n v="3.5975000000000001"/>
    <n v="75.547499999999999"/>
    <x v="87"/>
    <d v="1899-12-30T12:14:00"/>
    <x v="1"/>
    <n v="71.95"/>
    <n v="4.7619047620000003"/>
    <n v="3.5975000000000001"/>
    <n v="7.3"/>
  </r>
  <r>
    <s v="725-96-3778"/>
    <x v="1"/>
    <x v="1"/>
    <s v="Member"/>
    <x v="0"/>
    <x v="2"/>
    <n v="89.25"/>
    <n v="8"/>
    <n v="35.700000000000003"/>
    <n v="749.7"/>
    <x v="40"/>
    <d v="1899-12-30T10:13:00"/>
    <x v="1"/>
    <n v="714"/>
    <n v="4.7619047620000003"/>
    <n v="35.700000000000003"/>
    <n v="4.7"/>
  </r>
  <r>
    <s v="531-80-1784"/>
    <x v="0"/>
    <x v="0"/>
    <s v="Normal"/>
    <x v="1"/>
    <x v="1"/>
    <n v="26.02"/>
    <n v="7"/>
    <n v="9.1069999999999993"/>
    <n v="191.24700000000001"/>
    <x v="61"/>
    <d v="1899-12-30T17:38:00"/>
    <x v="1"/>
    <n v="182.14"/>
    <n v="4.7619047620000003"/>
    <n v="9.1069999999999993"/>
    <n v="5.0999999999999996"/>
  </r>
  <r>
    <s v="400-45-1220"/>
    <x v="2"/>
    <x v="2"/>
    <s v="Normal"/>
    <x v="0"/>
    <x v="0"/>
    <n v="13.5"/>
    <n v="10"/>
    <n v="6.75"/>
    <n v="141.75"/>
    <x v="33"/>
    <d v="1899-12-30T11:06:00"/>
    <x v="2"/>
    <n v="135"/>
    <n v="4.7619047620000003"/>
    <n v="6.75"/>
    <n v="4.8"/>
  </r>
  <r>
    <s v="860-79-0874"/>
    <x v="1"/>
    <x v="1"/>
    <s v="Member"/>
    <x v="0"/>
    <x v="5"/>
    <n v="99.3"/>
    <n v="10"/>
    <n v="49.65"/>
    <n v="1042.6500000000001"/>
    <x v="42"/>
    <d v="1899-12-30T14:53:00"/>
    <x v="2"/>
    <n v="993"/>
    <n v="4.7619047620000003"/>
    <n v="49.65"/>
    <n v="6.6"/>
  </r>
  <r>
    <s v="834-61-8124"/>
    <x v="0"/>
    <x v="0"/>
    <s v="Normal"/>
    <x v="1"/>
    <x v="1"/>
    <n v="51.69"/>
    <n v="7"/>
    <n v="18.0915"/>
    <n v="379.92149999999998"/>
    <x v="53"/>
    <d v="1899-12-30T18:22:00"/>
    <x v="1"/>
    <n v="361.83"/>
    <n v="4.7619047620000003"/>
    <n v="18.0915"/>
    <n v="5.5"/>
  </r>
  <r>
    <s v="115-99-4379"/>
    <x v="2"/>
    <x v="2"/>
    <s v="Member"/>
    <x v="0"/>
    <x v="5"/>
    <n v="54.73"/>
    <n v="7"/>
    <n v="19.1555"/>
    <n v="402.26549999999997"/>
    <x v="86"/>
    <d v="1899-12-30T19:02:00"/>
    <x v="2"/>
    <n v="383.11"/>
    <n v="4.7619047620000003"/>
    <n v="19.1555"/>
    <n v="8.5"/>
  </r>
  <r>
    <s v="565-67-6697"/>
    <x v="2"/>
    <x v="2"/>
    <s v="Member"/>
    <x v="1"/>
    <x v="2"/>
    <n v="27"/>
    <n v="9"/>
    <n v="12.15"/>
    <n v="255.15"/>
    <x v="22"/>
    <d v="1899-12-30T14:16:00"/>
    <x v="1"/>
    <n v="243"/>
    <n v="4.7619047620000003"/>
    <n v="12.15"/>
    <n v="4.8"/>
  </r>
  <r>
    <s v="320-49-6392"/>
    <x v="1"/>
    <x v="1"/>
    <s v="Normal"/>
    <x v="0"/>
    <x v="1"/>
    <n v="30.24"/>
    <n v="1"/>
    <n v="1.512"/>
    <n v="31.751999999999999"/>
    <x v="31"/>
    <d v="1899-12-30T15:44:00"/>
    <x v="1"/>
    <n v="30.24"/>
    <n v="4.7619047620000003"/>
    <n v="1.512"/>
    <n v="8.4"/>
  </r>
  <r>
    <s v="889-04-9723"/>
    <x v="2"/>
    <x v="2"/>
    <s v="Member"/>
    <x v="0"/>
    <x v="4"/>
    <n v="89.14"/>
    <n v="4"/>
    <n v="17.827999999999999"/>
    <n v="374.38799999999998"/>
    <x v="27"/>
    <d v="1899-12-30T12:20:00"/>
    <x v="2"/>
    <n v="356.56"/>
    <n v="4.7619047620000003"/>
    <n v="17.827999999999999"/>
    <n v="7.8"/>
  </r>
  <r>
    <s v="632-90-0281"/>
    <x v="1"/>
    <x v="1"/>
    <s v="Normal"/>
    <x v="0"/>
    <x v="5"/>
    <n v="37.549999999999997"/>
    <n v="10"/>
    <n v="18.774999999999999"/>
    <n v="394.27499999999998"/>
    <x v="1"/>
    <d v="1899-12-30T20:01:00"/>
    <x v="2"/>
    <n v="375.5"/>
    <n v="4.7619047620000003"/>
    <n v="18.774999999999999"/>
    <n v="9.3000000000000007"/>
  </r>
  <r>
    <s v="554-42-2417"/>
    <x v="1"/>
    <x v="1"/>
    <s v="Normal"/>
    <x v="0"/>
    <x v="3"/>
    <n v="95.44"/>
    <n v="10"/>
    <n v="47.72"/>
    <n v="1002.12"/>
    <x v="51"/>
    <d v="1899-12-30T13:45:00"/>
    <x v="1"/>
    <n v="954.4"/>
    <n v="4.7619047620000003"/>
    <n v="47.72"/>
    <n v="5.2"/>
  </r>
  <r>
    <s v="453-63-6187"/>
    <x v="2"/>
    <x v="2"/>
    <s v="Normal"/>
    <x v="1"/>
    <x v="1"/>
    <n v="27.5"/>
    <n v="3"/>
    <n v="4.125"/>
    <n v="86.625"/>
    <x v="59"/>
    <d v="1899-12-30T15:40:00"/>
    <x v="0"/>
    <n v="82.5"/>
    <n v="4.7619047620000003"/>
    <n v="4.125"/>
    <n v="6.5"/>
  </r>
  <r>
    <s v="578-80-7669"/>
    <x v="2"/>
    <x v="2"/>
    <s v="Normal"/>
    <x v="1"/>
    <x v="3"/>
    <n v="74.97"/>
    <n v="1"/>
    <n v="3.7484999999999999"/>
    <n v="78.718500000000006"/>
    <x v="32"/>
    <d v="1899-12-30T16:58:00"/>
    <x v="1"/>
    <n v="74.97"/>
    <n v="4.7619047620000003"/>
    <n v="3.7484999999999999"/>
    <n v="5.6"/>
  </r>
  <r>
    <s v="612-36-5536"/>
    <x v="0"/>
    <x v="0"/>
    <s v="Member"/>
    <x v="1"/>
    <x v="4"/>
    <n v="80.959999999999994"/>
    <n v="8"/>
    <n v="32.384"/>
    <n v="680.06399999999996"/>
    <x v="21"/>
    <d v="1899-12-30T11:12:00"/>
    <x v="2"/>
    <n v="647.67999999999995"/>
    <n v="4.7619047620000003"/>
    <n v="32.384"/>
    <n v="7.4"/>
  </r>
  <r>
    <s v="605-72-4132"/>
    <x v="1"/>
    <x v="1"/>
    <s v="Normal"/>
    <x v="0"/>
    <x v="4"/>
    <n v="94.47"/>
    <n v="8"/>
    <n v="37.787999999999997"/>
    <n v="793.548"/>
    <x v="33"/>
    <d v="1899-12-30T15:12:00"/>
    <x v="1"/>
    <n v="755.76"/>
    <n v="4.7619047620000003"/>
    <n v="37.787999999999997"/>
    <n v="9.1"/>
  </r>
  <r>
    <s v="471-41-2823"/>
    <x v="1"/>
    <x v="1"/>
    <s v="Normal"/>
    <x v="1"/>
    <x v="4"/>
    <n v="99.79"/>
    <n v="2"/>
    <n v="9.9789999999999992"/>
    <n v="209.559"/>
    <x v="37"/>
    <d v="1899-12-30T20:37:00"/>
    <x v="0"/>
    <n v="199.58"/>
    <n v="4.7619047620000003"/>
    <n v="9.9789999999999992"/>
    <n v="8"/>
  </r>
  <r>
    <s v="462-67-9126"/>
    <x v="0"/>
    <x v="0"/>
    <s v="Normal"/>
    <x v="1"/>
    <x v="2"/>
    <n v="73.22"/>
    <n v="6"/>
    <n v="21.966000000000001"/>
    <n v="461.286"/>
    <x v="18"/>
    <d v="1899-12-30T17:44:00"/>
    <x v="1"/>
    <n v="439.32"/>
    <n v="4.7619047620000003"/>
    <n v="21.966000000000001"/>
    <n v="7.2"/>
  </r>
  <r>
    <s v="272-27-9238"/>
    <x v="1"/>
    <x v="1"/>
    <s v="Normal"/>
    <x v="0"/>
    <x v="4"/>
    <n v="41.24"/>
    <n v="4"/>
    <n v="8.2479999999999993"/>
    <n v="173.208"/>
    <x v="88"/>
    <d v="1899-12-30T16:23:00"/>
    <x v="1"/>
    <n v="164.96"/>
    <n v="4.7619047620000003"/>
    <n v="8.2479999999999993"/>
    <n v="7.1"/>
  </r>
  <r>
    <s v="834-25-9262"/>
    <x v="1"/>
    <x v="1"/>
    <s v="Normal"/>
    <x v="0"/>
    <x v="5"/>
    <n v="81.680000000000007"/>
    <n v="4"/>
    <n v="16.335999999999999"/>
    <n v="343.05599999999998"/>
    <x v="47"/>
    <d v="1899-12-30T12:12:00"/>
    <x v="1"/>
    <n v="326.72000000000003"/>
    <n v="4.7619047620000003"/>
    <n v="16.335999999999999"/>
    <n v="9.1"/>
  </r>
  <r>
    <s v="122-61-9553"/>
    <x v="1"/>
    <x v="1"/>
    <s v="Normal"/>
    <x v="0"/>
    <x v="1"/>
    <n v="51.32"/>
    <n v="9"/>
    <n v="23.094000000000001"/>
    <n v="484.97399999999999"/>
    <x v="86"/>
    <d v="1899-12-30T19:33:00"/>
    <x v="1"/>
    <n v="461.88"/>
    <n v="4.7619047620000003"/>
    <n v="23.094000000000001"/>
    <n v="5.6"/>
  </r>
  <r>
    <s v="468-88-0009"/>
    <x v="0"/>
    <x v="0"/>
    <s v="Member"/>
    <x v="1"/>
    <x v="2"/>
    <n v="65.94"/>
    <n v="4"/>
    <n v="13.188000000000001"/>
    <n v="276.94799999999998"/>
    <x v="62"/>
    <d v="1899-12-30T10:29:00"/>
    <x v="1"/>
    <n v="263.76"/>
    <n v="4.7619047620000003"/>
    <n v="13.188000000000001"/>
    <n v="6"/>
  </r>
  <r>
    <s v="613-59-9758"/>
    <x v="1"/>
    <x v="1"/>
    <s v="Normal"/>
    <x v="0"/>
    <x v="3"/>
    <n v="14.36"/>
    <n v="10"/>
    <n v="7.18"/>
    <n v="150.78"/>
    <x v="3"/>
    <d v="1899-12-30T14:28:00"/>
    <x v="1"/>
    <n v="143.6"/>
    <n v="4.7619047620000003"/>
    <n v="7.18"/>
    <n v="5.4"/>
  </r>
  <r>
    <s v="254-31-0042"/>
    <x v="0"/>
    <x v="0"/>
    <s v="Member"/>
    <x v="1"/>
    <x v="1"/>
    <n v="21.5"/>
    <n v="9"/>
    <n v="9.6750000000000007"/>
    <n v="203.17500000000001"/>
    <x v="43"/>
    <d v="1899-12-30T12:46:00"/>
    <x v="2"/>
    <n v="193.5"/>
    <n v="4.7619047620000003"/>
    <n v="9.6750000000000007"/>
    <n v="7.8"/>
  </r>
  <r>
    <s v="201-86-2184"/>
    <x v="2"/>
    <x v="2"/>
    <s v="Member"/>
    <x v="0"/>
    <x v="1"/>
    <n v="26.26"/>
    <n v="7"/>
    <n v="9.1910000000000007"/>
    <n v="193.011"/>
    <x v="30"/>
    <d v="1899-12-30T19:40:00"/>
    <x v="1"/>
    <n v="183.82"/>
    <n v="4.7619047620000003"/>
    <n v="9.1910000000000007"/>
    <n v="9.9"/>
  </r>
  <r>
    <s v="261-12-8671"/>
    <x v="2"/>
    <x v="2"/>
    <s v="Normal"/>
    <x v="0"/>
    <x v="5"/>
    <n v="60.96"/>
    <n v="2"/>
    <n v="6.0960000000000001"/>
    <n v="128.01599999999999"/>
    <x v="25"/>
    <d v="1899-12-30T19:39:00"/>
    <x v="2"/>
    <n v="121.92"/>
    <n v="4.7619047620000003"/>
    <n v="6.0960000000000001"/>
    <n v="4.9000000000000004"/>
  </r>
  <r>
    <s v="730-70-9830"/>
    <x v="1"/>
    <x v="1"/>
    <s v="Normal"/>
    <x v="0"/>
    <x v="2"/>
    <n v="70.11"/>
    <n v="6"/>
    <n v="21.033000000000001"/>
    <n v="441.69299999999998"/>
    <x v="86"/>
    <d v="1899-12-30T17:54:00"/>
    <x v="0"/>
    <n v="420.66"/>
    <n v="4.7619047620000003"/>
    <n v="21.033000000000001"/>
    <n v="5.2"/>
  </r>
  <r>
    <s v="382-25-8917"/>
    <x v="1"/>
    <x v="1"/>
    <s v="Normal"/>
    <x v="1"/>
    <x v="5"/>
    <n v="42.08"/>
    <n v="6"/>
    <n v="12.624000000000001"/>
    <n v="265.10399999999998"/>
    <x v="71"/>
    <d v="1899-12-30T12:25:00"/>
    <x v="1"/>
    <n v="252.48"/>
    <n v="4.7619047620000003"/>
    <n v="12.624000000000001"/>
    <n v="8.9"/>
  </r>
  <r>
    <s v="422-29-8786"/>
    <x v="0"/>
    <x v="0"/>
    <s v="Normal"/>
    <x v="0"/>
    <x v="2"/>
    <n v="67.09"/>
    <n v="5"/>
    <n v="16.772500000000001"/>
    <n v="352.22250000000003"/>
    <x v="75"/>
    <d v="1899-12-30T16:47:00"/>
    <x v="2"/>
    <n v="335.45"/>
    <n v="4.7619047620000003"/>
    <n v="16.772500000000001"/>
    <n v="9.1"/>
  </r>
  <r>
    <s v="667-23-5919"/>
    <x v="0"/>
    <x v="0"/>
    <s v="Member"/>
    <x v="0"/>
    <x v="5"/>
    <n v="96.7"/>
    <n v="5"/>
    <n v="24.175000000000001"/>
    <n v="507.67500000000001"/>
    <x v="78"/>
    <d v="1899-12-30T12:52:00"/>
    <x v="0"/>
    <n v="483.5"/>
    <n v="4.7619047620000003"/>
    <n v="24.175000000000001"/>
    <n v="7"/>
  </r>
  <r>
    <s v="843-01-4703"/>
    <x v="2"/>
    <x v="2"/>
    <s v="Member"/>
    <x v="0"/>
    <x v="2"/>
    <n v="35.380000000000003"/>
    <n v="9"/>
    <n v="15.920999999999999"/>
    <n v="334.34100000000001"/>
    <x v="0"/>
    <d v="1899-12-30T19:50:00"/>
    <x v="2"/>
    <n v="318.42"/>
    <n v="4.7619047620000003"/>
    <n v="15.920999999999999"/>
    <n v="9.6"/>
  </r>
  <r>
    <s v="743-88-1662"/>
    <x v="1"/>
    <x v="1"/>
    <s v="Normal"/>
    <x v="1"/>
    <x v="3"/>
    <n v="95.49"/>
    <n v="7"/>
    <n v="33.421500000000002"/>
    <n v="701.85149999999999"/>
    <x v="70"/>
    <d v="1899-12-30T18:17:00"/>
    <x v="0"/>
    <n v="668.43"/>
    <n v="4.7619047620000003"/>
    <n v="33.421500000000002"/>
    <n v="8.6999999999999993"/>
  </r>
  <r>
    <s v="595-86-2894"/>
    <x v="1"/>
    <x v="1"/>
    <s v="Member"/>
    <x v="1"/>
    <x v="5"/>
    <n v="96.98"/>
    <n v="4"/>
    <n v="19.396000000000001"/>
    <n v="407.31599999999997"/>
    <x v="10"/>
    <d v="1899-12-30T17:20:00"/>
    <x v="0"/>
    <n v="387.92"/>
    <n v="4.7619047620000003"/>
    <n v="19.396000000000001"/>
    <n v="9.4"/>
  </r>
  <r>
    <s v="182-69-8360"/>
    <x v="2"/>
    <x v="2"/>
    <s v="Normal"/>
    <x v="0"/>
    <x v="1"/>
    <n v="23.65"/>
    <n v="4"/>
    <n v="4.7300000000000004"/>
    <n v="99.33"/>
    <x v="74"/>
    <d v="1899-12-30T13:32:00"/>
    <x v="2"/>
    <n v="94.6"/>
    <n v="4.7619047620000003"/>
    <n v="4.7300000000000004"/>
    <n v="4"/>
  </r>
  <r>
    <s v="289-15-7034"/>
    <x v="0"/>
    <x v="0"/>
    <s v="Member"/>
    <x v="1"/>
    <x v="3"/>
    <n v="82.33"/>
    <n v="4"/>
    <n v="16.466000000000001"/>
    <n v="345.786"/>
    <x v="83"/>
    <d v="1899-12-30T10:37:00"/>
    <x v="2"/>
    <n v="329.32"/>
    <n v="4.7619047620000003"/>
    <n v="16.466000000000001"/>
    <n v="7.5"/>
  </r>
  <r>
    <s v="462-78-5240"/>
    <x v="1"/>
    <x v="1"/>
    <s v="Normal"/>
    <x v="0"/>
    <x v="1"/>
    <n v="26.61"/>
    <n v="2"/>
    <n v="2.661"/>
    <n v="55.881"/>
    <x v="35"/>
    <d v="1899-12-30T14:35:00"/>
    <x v="1"/>
    <n v="53.22"/>
    <n v="4.7619047620000003"/>
    <n v="2.661"/>
    <n v="4.2"/>
  </r>
  <r>
    <s v="868-52-7573"/>
    <x v="2"/>
    <x v="2"/>
    <s v="Normal"/>
    <x v="0"/>
    <x v="4"/>
    <n v="99.69"/>
    <n v="5"/>
    <n v="24.922499999999999"/>
    <n v="523.37249999999995"/>
    <x v="78"/>
    <d v="1899-12-30T12:09:00"/>
    <x v="1"/>
    <n v="498.45"/>
    <n v="4.7619047620000003"/>
    <n v="24.922499999999999"/>
    <n v="9.9"/>
  </r>
  <r>
    <s v="153-58-4872"/>
    <x v="1"/>
    <x v="1"/>
    <s v="Member"/>
    <x v="0"/>
    <x v="4"/>
    <n v="74.89"/>
    <n v="4"/>
    <n v="14.978"/>
    <n v="314.53800000000001"/>
    <x v="59"/>
    <d v="1899-12-30T15:32:00"/>
    <x v="0"/>
    <n v="299.56"/>
    <n v="4.7619047620000003"/>
    <n v="14.978"/>
    <n v="4.2"/>
  </r>
  <r>
    <s v="662-72-2873"/>
    <x v="0"/>
    <x v="0"/>
    <s v="Normal"/>
    <x v="0"/>
    <x v="4"/>
    <n v="40.94"/>
    <n v="5"/>
    <n v="10.234999999999999"/>
    <n v="214.935"/>
    <x v="47"/>
    <d v="1899-12-30T13:58:00"/>
    <x v="0"/>
    <n v="204.7"/>
    <n v="4.7619047620000003"/>
    <n v="10.234999999999999"/>
    <n v="9.9"/>
  </r>
  <r>
    <s v="525-88-7307"/>
    <x v="2"/>
    <x v="2"/>
    <s v="Member"/>
    <x v="1"/>
    <x v="3"/>
    <n v="75.819999999999993"/>
    <n v="1"/>
    <n v="3.7909999999999999"/>
    <n v="79.611000000000004"/>
    <x v="82"/>
    <d v="1899-12-30T13:19:00"/>
    <x v="1"/>
    <n v="75.819999999999993"/>
    <n v="4.7619047620000003"/>
    <n v="3.7909999999999999"/>
    <n v="5.8"/>
  </r>
  <r>
    <s v="689-16-9784"/>
    <x v="1"/>
    <x v="1"/>
    <s v="Normal"/>
    <x v="1"/>
    <x v="4"/>
    <n v="46.77"/>
    <n v="6"/>
    <n v="14.031000000000001"/>
    <n v="294.65100000000001"/>
    <x v="16"/>
    <d v="1899-12-30T13:37:00"/>
    <x v="1"/>
    <n v="280.62"/>
    <n v="4.7619047620000003"/>
    <n v="14.031000000000001"/>
    <n v="6"/>
  </r>
  <r>
    <s v="725-56-0833"/>
    <x v="0"/>
    <x v="0"/>
    <s v="Normal"/>
    <x v="0"/>
    <x v="0"/>
    <n v="32.32"/>
    <n v="10"/>
    <n v="16.16"/>
    <n v="339.36"/>
    <x v="9"/>
    <d v="1899-12-30T16:49:00"/>
    <x v="2"/>
    <n v="323.2"/>
    <n v="4.7619047620000003"/>
    <n v="16.16"/>
    <n v="10"/>
  </r>
  <r>
    <s v="394-41-0748"/>
    <x v="1"/>
    <x v="1"/>
    <s v="Member"/>
    <x v="0"/>
    <x v="5"/>
    <n v="54.07"/>
    <n v="9"/>
    <n v="24.331499999999998"/>
    <n v="510.9615"/>
    <x v="3"/>
    <d v="1899-12-30T14:55:00"/>
    <x v="0"/>
    <n v="486.63"/>
    <n v="4.7619047620000003"/>
    <n v="24.331499999999998"/>
    <n v="9.5"/>
  </r>
  <r>
    <s v="596-42-3999"/>
    <x v="2"/>
    <x v="2"/>
    <s v="Normal"/>
    <x v="1"/>
    <x v="4"/>
    <n v="18.22"/>
    <n v="7"/>
    <n v="6.3769999999999998"/>
    <n v="133.917"/>
    <x v="24"/>
    <d v="1899-12-30T14:04:00"/>
    <x v="2"/>
    <n v="127.54"/>
    <n v="4.7619047620000003"/>
    <n v="6.3769999999999998"/>
    <n v="6.6"/>
  </r>
  <r>
    <s v="541-89-9860"/>
    <x v="1"/>
    <x v="1"/>
    <s v="Member"/>
    <x v="0"/>
    <x v="5"/>
    <n v="80.48"/>
    <n v="3"/>
    <n v="12.071999999999999"/>
    <n v="253.512"/>
    <x v="42"/>
    <d v="1899-12-30T12:31:00"/>
    <x v="1"/>
    <n v="241.44"/>
    <n v="4.7619047620000003"/>
    <n v="12.071999999999999"/>
    <n v="8.1"/>
  </r>
  <r>
    <s v="173-82-9529"/>
    <x v="2"/>
    <x v="2"/>
    <s v="Normal"/>
    <x v="0"/>
    <x v="5"/>
    <n v="37.950000000000003"/>
    <n v="10"/>
    <n v="18.975000000000001"/>
    <n v="398.47500000000002"/>
    <x v="53"/>
    <d v="1899-12-30T14:51:00"/>
    <x v="1"/>
    <n v="379.5"/>
    <n v="4.7619047620000003"/>
    <n v="18.975000000000001"/>
    <n v="9.6999999999999993"/>
  </r>
  <r>
    <s v="563-36-9814"/>
    <x v="0"/>
    <x v="0"/>
    <s v="Member"/>
    <x v="1"/>
    <x v="1"/>
    <n v="76.819999999999993"/>
    <n v="1"/>
    <n v="3.8410000000000002"/>
    <n v="80.661000000000001"/>
    <x v="77"/>
    <d v="1899-12-30T18:27:00"/>
    <x v="0"/>
    <n v="76.819999999999993"/>
    <n v="4.7619047620000003"/>
    <n v="3.8410000000000002"/>
    <n v="7.2"/>
  </r>
  <r>
    <s v="308-47-4913"/>
    <x v="0"/>
    <x v="0"/>
    <s v="Member"/>
    <x v="0"/>
    <x v="3"/>
    <n v="52.26"/>
    <n v="10"/>
    <n v="26.13"/>
    <n v="548.73"/>
    <x v="11"/>
    <d v="1899-12-30T12:45:00"/>
    <x v="2"/>
    <n v="522.6"/>
    <n v="4.7619047620000003"/>
    <n v="26.13"/>
    <n v="6.2"/>
  </r>
  <r>
    <s v="885-17-6250"/>
    <x v="0"/>
    <x v="0"/>
    <s v="Normal"/>
    <x v="0"/>
    <x v="0"/>
    <n v="79.739999999999995"/>
    <n v="1"/>
    <n v="3.9870000000000001"/>
    <n v="83.727000000000004"/>
    <x v="43"/>
    <d v="1899-12-30T10:36:00"/>
    <x v="0"/>
    <n v="79.739999999999995"/>
    <n v="4.7619047620000003"/>
    <n v="3.9870000000000001"/>
    <n v="7.3"/>
  </r>
  <r>
    <s v="726-27-2396"/>
    <x v="0"/>
    <x v="0"/>
    <s v="Normal"/>
    <x v="0"/>
    <x v="0"/>
    <n v="77.5"/>
    <n v="5"/>
    <n v="19.375"/>
    <n v="406.875"/>
    <x v="46"/>
    <d v="1899-12-30T20:36:00"/>
    <x v="0"/>
    <n v="387.5"/>
    <n v="4.7619047620000003"/>
    <n v="19.375"/>
    <n v="4.3"/>
  </r>
  <r>
    <s v="316-01-3952"/>
    <x v="0"/>
    <x v="0"/>
    <s v="Normal"/>
    <x v="0"/>
    <x v="4"/>
    <n v="54.27"/>
    <n v="5"/>
    <n v="13.567500000000001"/>
    <n v="284.91750000000002"/>
    <x v="45"/>
    <d v="1899-12-30T14:16:00"/>
    <x v="0"/>
    <n v="271.35000000000002"/>
    <n v="4.7619047620000003"/>
    <n v="13.567500000000001"/>
    <n v="4.5999999999999996"/>
  </r>
  <r>
    <s v="760-54-1821"/>
    <x v="2"/>
    <x v="2"/>
    <s v="Normal"/>
    <x v="1"/>
    <x v="2"/>
    <n v="13.59"/>
    <n v="9"/>
    <n v="6.1154999999999999"/>
    <n v="128.4255"/>
    <x v="20"/>
    <d v="1899-12-30T10:26:00"/>
    <x v="1"/>
    <n v="122.31"/>
    <n v="4.7619047620000003"/>
    <n v="6.1154999999999999"/>
    <n v="5.8"/>
  </r>
  <r>
    <s v="793-10-3222"/>
    <x v="2"/>
    <x v="2"/>
    <s v="Member"/>
    <x v="0"/>
    <x v="0"/>
    <n v="41.06"/>
    <n v="6"/>
    <n v="12.318"/>
    <n v="258.678"/>
    <x v="19"/>
    <d v="1899-12-30T13:30:00"/>
    <x v="2"/>
    <n v="246.36"/>
    <n v="4.7619047620000003"/>
    <n v="12.318"/>
    <n v="8.3000000000000007"/>
  </r>
  <r>
    <s v="346-12-3257"/>
    <x v="2"/>
    <x v="2"/>
    <s v="Member"/>
    <x v="1"/>
    <x v="1"/>
    <n v="19.239999999999998"/>
    <n v="9"/>
    <n v="8.6579999999999995"/>
    <n v="181.81800000000001"/>
    <x v="31"/>
    <d v="1899-12-30T16:28:00"/>
    <x v="1"/>
    <n v="173.16"/>
    <n v="4.7619047620000003"/>
    <n v="8.6579999999999995"/>
    <n v="8"/>
  </r>
  <r>
    <s v="110-05-6330"/>
    <x v="1"/>
    <x v="1"/>
    <s v="Normal"/>
    <x v="0"/>
    <x v="4"/>
    <n v="39.43"/>
    <n v="6"/>
    <n v="11.829000000000001"/>
    <n v="248.40899999999999"/>
    <x v="5"/>
    <d v="1899-12-30T20:18:00"/>
    <x v="2"/>
    <n v="236.58"/>
    <n v="4.7619047620000003"/>
    <n v="11.829000000000001"/>
    <n v="9.4"/>
  </r>
  <r>
    <s v="651-61-0874"/>
    <x v="1"/>
    <x v="1"/>
    <s v="Normal"/>
    <x v="1"/>
    <x v="2"/>
    <n v="46.22"/>
    <n v="4"/>
    <n v="9.2439999999999998"/>
    <n v="194.124"/>
    <x v="41"/>
    <d v="1899-12-30T20:04:00"/>
    <x v="2"/>
    <n v="184.88"/>
    <n v="4.7619047620000003"/>
    <n v="9.2439999999999998"/>
    <n v="6.2"/>
  </r>
  <r>
    <s v="236-86-3015"/>
    <x v="1"/>
    <x v="1"/>
    <s v="Member"/>
    <x v="1"/>
    <x v="2"/>
    <n v="13.98"/>
    <n v="1"/>
    <n v="0.69899999999999995"/>
    <n v="14.679"/>
    <x v="87"/>
    <d v="1899-12-30T13:38:00"/>
    <x v="0"/>
    <n v="13.98"/>
    <n v="4.7619047620000003"/>
    <n v="0.69899999999999995"/>
    <n v="9.8000000000000007"/>
  </r>
  <r>
    <s v="831-64-0259"/>
    <x v="2"/>
    <x v="2"/>
    <s v="Normal"/>
    <x v="0"/>
    <x v="5"/>
    <n v="39.75"/>
    <n v="5"/>
    <n v="9.9375"/>
    <n v="208.6875"/>
    <x v="70"/>
    <d v="1899-12-30T10:43:00"/>
    <x v="0"/>
    <n v="198.75"/>
    <n v="4.7619047620000003"/>
    <n v="9.9375"/>
    <n v="9.6"/>
  </r>
  <r>
    <s v="587-03-7455"/>
    <x v="1"/>
    <x v="1"/>
    <s v="Member"/>
    <x v="0"/>
    <x v="5"/>
    <n v="97.79"/>
    <n v="7"/>
    <n v="34.226500000000001"/>
    <n v="718.75649999999996"/>
    <x v="69"/>
    <d v="1899-12-30T17:30:00"/>
    <x v="0"/>
    <n v="684.53"/>
    <n v="4.7619047620000003"/>
    <n v="34.226500000000001"/>
    <n v="4.9000000000000004"/>
  </r>
  <r>
    <s v="882-40-4577"/>
    <x v="0"/>
    <x v="0"/>
    <s v="Member"/>
    <x v="1"/>
    <x v="3"/>
    <n v="67.260000000000005"/>
    <n v="4"/>
    <n v="13.452"/>
    <n v="282.49200000000002"/>
    <x v="64"/>
    <d v="1899-12-30T15:28:00"/>
    <x v="2"/>
    <n v="269.04000000000002"/>
    <n v="4.7619047620000003"/>
    <n v="13.452"/>
    <n v="8"/>
  </r>
  <r>
    <s v="732-67-5346"/>
    <x v="0"/>
    <x v="0"/>
    <s v="Normal"/>
    <x v="1"/>
    <x v="4"/>
    <n v="13.79"/>
    <n v="5"/>
    <n v="3.4474999999999998"/>
    <n v="72.397499999999994"/>
    <x v="83"/>
    <d v="1899-12-30T19:07:00"/>
    <x v="2"/>
    <n v="68.95"/>
    <n v="4.7619047620000003"/>
    <n v="3.4474999999999998"/>
    <n v="7.8"/>
  </r>
  <r>
    <s v="725-32-9708"/>
    <x v="2"/>
    <x v="2"/>
    <s v="Member"/>
    <x v="0"/>
    <x v="5"/>
    <n v="68.709999999999994"/>
    <n v="4"/>
    <n v="13.742000000000001"/>
    <n v="288.58199999999999"/>
    <x v="72"/>
    <d v="1899-12-30T19:01:00"/>
    <x v="1"/>
    <n v="274.83999999999997"/>
    <n v="4.7619047620000003"/>
    <n v="13.742000000000001"/>
    <n v="4.0999999999999996"/>
  </r>
  <r>
    <s v="256-08-8343"/>
    <x v="0"/>
    <x v="0"/>
    <s v="Normal"/>
    <x v="0"/>
    <x v="2"/>
    <n v="56.53"/>
    <n v="4"/>
    <n v="11.305999999999999"/>
    <n v="237.42599999999999"/>
    <x v="31"/>
    <d v="1899-12-30T19:48:00"/>
    <x v="0"/>
    <n v="226.12"/>
    <n v="4.7619047620000003"/>
    <n v="11.305999999999999"/>
    <n v="5.5"/>
  </r>
  <r>
    <s v="372-26-1506"/>
    <x v="1"/>
    <x v="1"/>
    <s v="Normal"/>
    <x v="0"/>
    <x v="5"/>
    <n v="23.82"/>
    <n v="5"/>
    <n v="5.9550000000000001"/>
    <n v="125.05500000000001"/>
    <x v="26"/>
    <d v="1899-12-30T19:24:00"/>
    <x v="0"/>
    <n v="119.1"/>
    <n v="4.7619047620000003"/>
    <n v="5.9550000000000001"/>
    <n v="5.4"/>
  </r>
  <r>
    <s v="244-08-0162"/>
    <x v="2"/>
    <x v="2"/>
    <s v="Normal"/>
    <x v="0"/>
    <x v="0"/>
    <n v="34.21"/>
    <n v="10"/>
    <n v="17.105"/>
    <n v="359.20499999999998"/>
    <x v="56"/>
    <d v="1899-12-30T13:00:00"/>
    <x v="1"/>
    <n v="342.1"/>
    <n v="4.7619047620000003"/>
    <n v="17.105"/>
    <n v="5.0999999999999996"/>
  </r>
  <r>
    <s v="569-71-4390"/>
    <x v="2"/>
    <x v="2"/>
    <s v="Normal"/>
    <x v="1"/>
    <x v="3"/>
    <n v="21.87"/>
    <n v="2"/>
    <n v="2.1869999999999998"/>
    <n v="45.927"/>
    <x v="25"/>
    <d v="1899-12-30T14:29:00"/>
    <x v="0"/>
    <n v="43.74"/>
    <n v="4.7619047620000003"/>
    <n v="2.1869999999999998"/>
    <n v="6.9"/>
  </r>
  <r>
    <s v="132-23-6451"/>
    <x v="0"/>
    <x v="0"/>
    <s v="Member"/>
    <x v="1"/>
    <x v="0"/>
    <n v="20.97"/>
    <n v="5"/>
    <n v="5.2424999999999997"/>
    <n v="110.0925"/>
    <x v="72"/>
    <d v="1899-12-30T13:21:00"/>
    <x v="1"/>
    <n v="104.85"/>
    <n v="4.7619047620000003"/>
    <n v="5.2424999999999997"/>
    <n v="7.8"/>
  </r>
  <r>
    <s v="696-90-2548"/>
    <x v="0"/>
    <x v="0"/>
    <s v="Normal"/>
    <x v="1"/>
    <x v="3"/>
    <n v="25.84"/>
    <n v="3"/>
    <n v="3.8759999999999999"/>
    <n v="81.396000000000001"/>
    <x v="24"/>
    <d v="1899-12-30T18:55:00"/>
    <x v="0"/>
    <n v="77.52"/>
    <n v="4.7619047620000003"/>
    <n v="3.8759999999999999"/>
    <n v="6.6"/>
  </r>
  <r>
    <s v="472-15-9636"/>
    <x v="0"/>
    <x v="0"/>
    <s v="Normal"/>
    <x v="1"/>
    <x v="2"/>
    <n v="50.93"/>
    <n v="8"/>
    <n v="20.372"/>
    <n v="427.81200000000001"/>
    <x v="23"/>
    <d v="1899-12-30T19:36:00"/>
    <x v="0"/>
    <n v="407.44"/>
    <n v="4.7619047620000003"/>
    <n v="20.372"/>
    <n v="9.1999999999999993"/>
  </r>
  <r>
    <s v="268-03-6164"/>
    <x v="2"/>
    <x v="2"/>
    <s v="Normal"/>
    <x v="1"/>
    <x v="0"/>
    <n v="96.11"/>
    <n v="1"/>
    <n v="4.8055000000000003"/>
    <n v="100.91549999999999"/>
    <x v="25"/>
    <d v="1899-12-30T16:28:00"/>
    <x v="0"/>
    <n v="96.11"/>
    <n v="4.7619047620000003"/>
    <n v="4.8055000000000003"/>
    <n v="7.8"/>
  </r>
  <r>
    <s v="750-57-9686"/>
    <x v="1"/>
    <x v="1"/>
    <s v="Normal"/>
    <x v="0"/>
    <x v="2"/>
    <n v="45.38"/>
    <n v="4"/>
    <n v="9.0760000000000005"/>
    <n v="190.596"/>
    <x v="66"/>
    <d v="1899-12-30T13:48:00"/>
    <x v="2"/>
    <n v="181.52"/>
    <n v="4.7619047620000003"/>
    <n v="9.0760000000000005"/>
    <n v="8.6999999999999993"/>
  </r>
  <r>
    <s v="186-09-3669"/>
    <x v="1"/>
    <x v="1"/>
    <s v="Member"/>
    <x v="0"/>
    <x v="0"/>
    <n v="81.510000000000005"/>
    <n v="1"/>
    <n v="4.0754999999999999"/>
    <n v="85.585499999999996"/>
    <x v="49"/>
    <d v="1899-12-30T10:57:00"/>
    <x v="0"/>
    <n v="81.510000000000005"/>
    <n v="4.7619047620000003"/>
    <n v="4.0754999999999999"/>
    <n v="9.1999999999999993"/>
  </r>
  <r>
    <s v="848-07-1692"/>
    <x v="2"/>
    <x v="2"/>
    <s v="Normal"/>
    <x v="0"/>
    <x v="0"/>
    <n v="57.22"/>
    <n v="2"/>
    <n v="5.7220000000000004"/>
    <n v="120.16200000000001"/>
    <x v="52"/>
    <d v="1899-12-30T17:13:00"/>
    <x v="0"/>
    <n v="114.44"/>
    <n v="4.7619047620000003"/>
    <n v="5.7220000000000004"/>
    <n v="8.3000000000000007"/>
  </r>
  <r>
    <s v="745-71-3520"/>
    <x v="0"/>
    <x v="0"/>
    <s v="Member"/>
    <x v="0"/>
    <x v="1"/>
    <n v="25.22"/>
    <n v="7"/>
    <n v="8.827"/>
    <n v="185.36699999999999"/>
    <x v="87"/>
    <d v="1899-12-30T10:23:00"/>
    <x v="1"/>
    <n v="176.54"/>
    <n v="4.7619047620000003"/>
    <n v="8.827"/>
    <n v="8.1999999999999993"/>
  </r>
  <r>
    <s v="266-76-6436"/>
    <x v="1"/>
    <x v="1"/>
    <s v="Member"/>
    <x v="0"/>
    <x v="4"/>
    <n v="38.6"/>
    <n v="3"/>
    <n v="5.79"/>
    <n v="121.59"/>
    <x v="61"/>
    <d v="1899-12-30T13:57:00"/>
    <x v="0"/>
    <n v="115.8"/>
    <n v="4.7619047620000003"/>
    <n v="5.79"/>
    <n v="7.5"/>
  </r>
  <r>
    <s v="740-22-2500"/>
    <x v="1"/>
    <x v="1"/>
    <s v="Normal"/>
    <x v="0"/>
    <x v="1"/>
    <n v="84.05"/>
    <n v="3"/>
    <n v="12.6075"/>
    <n v="264.75749999999999"/>
    <x v="54"/>
    <d v="1899-12-30T13:29:00"/>
    <x v="1"/>
    <n v="252.15"/>
    <n v="4.7619047620000003"/>
    <n v="12.6075"/>
    <n v="9.8000000000000007"/>
  </r>
  <r>
    <s v="271-88-8734"/>
    <x v="1"/>
    <x v="1"/>
    <s v="Member"/>
    <x v="0"/>
    <x v="5"/>
    <n v="97.21"/>
    <n v="10"/>
    <n v="48.604999999999997"/>
    <n v="1020.705"/>
    <x v="4"/>
    <d v="1899-12-30T13:00:00"/>
    <x v="2"/>
    <n v="972.1"/>
    <n v="4.7619047620000003"/>
    <n v="48.604999999999997"/>
    <n v="8.6999999999999993"/>
  </r>
  <r>
    <s v="301-81-8610"/>
    <x v="2"/>
    <x v="2"/>
    <s v="Member"/>
    <x v="1"/>
    <x v="5"/>
    <n v="25.42"/>
    <n v="8"/>
    <n v="10.167999999999999"/>
    <n v="213.52799999999999"/>
    <x v="35"/>
    <d v="1899-12-30T19:42:00"/>
    <x v="2"/>
    <n v="203.36"/>
    <n v="4.7619047620000003"/>
    <n v="10.167999999999999"/>
    <n v="6.7"/>
  </r>
  <r>
    <s v="489-64-4354"/>
    <x v="1"/>
    <x v="1"/>
    <s v="Normal"/>
    <x v="1"/>
    <x v="5"/>
    <n v="16.28"/>
    <n v="1"/>
    <n v="0.81399999999999995"/>
    <n v="17.094000000000001"/>
    <x v="11"/>
    <d v="1899-12-30T15:36:00"/>
    <x v="1"/>
    <n v="16.28"/>
    <n v="4.7619047620000003"/>
    <n v="0.81399999999999995"/>
    <n v="5"/>
  </r>
  <r>
    <s v="198-84-7132"/>
    <x v="2"/>
    <x v="2"/>
    <s v="Member"/>
    <x v="1"/>
    <x v="5"/>
    <n v="40.61"/>
    <n v="9"/>
    <n v="18.2745"/>
    <n v="383.7645"/>
    <x v="56"/>
    <d v="1899-12-30T13:40:00"/>
    <x v="1"/>
    <n v="365.49"/>
    <n v="4.7619047620000003"/>
    <n v="18.2745"/>
    <n v="7"/>
  </r>
  <r>
    <s v="269-10-8440"/>
    <x v="0"/>
    <x v="0"/>
    <s v="Member"/>
    <x v="1"/>
    <x v="0"/>
    <n v="53.17"/>
    <n v="7"/>
    <n v="18.609500000000001"/>
    <n v="390.79950000000002"/>
    <x v="18"/>
    <d v="1899-12-30T18:01:00"/>
    <x v="1"/>
    <n v="372.19"/>
    <n v="4.7619047620000003"/>
    <n v="18.609500000000001"/>
    <n v="8.9"/>
  </r>
  <r>
    <s v="650-98-6268"/>
    <x v="2"/>
    <x v="2"/>
    <s v="Member"/>
    <x v="0"/>
    <x v="4"/>
    <n v="20.87"/>
    <n v="3"/>
    <n v="3.1305000000000001"/>
    <n v="65.740499999999997"/>
    <x v="80"/>
    <d v="1899-12-30T13:53:00"/>
    <x v="2"/>
    <n v="62.61"/>
    <n v="4.7619047620000003"/>
    <n v="3.1305000000000001"/>
    <n v="8"/>
  </r>
  <r>
    <s v="741-73-3559"/>
    <x v="2"/>
    <x v="2"/>
    <s v="Normal"/>
    <x v="1"/>
    <x v="3"/>
    <n v="67.27"/>
    <n v="5"/>
    <n v="16.817499999999999"/>
    <n v="353.16750000000002"/>
    <x v="33"/>
    <d v="1899-12-30T17:27:00"/>
    <x v="1"/>
    <n v="336.35"/>
    <n v="4.7619047620000003"/>
    <n v="16.817499999999999"/>
    <n v="6.9"/>
  </r>
  <r>
    <s v="325-77-6186"/>
    <x v="0"/>
    <x v="0"/>
    <s v="Member"/>
    <x v="0"/>
    <x v="2"/>
    <n v="90.65"/>
    <n v="10"/>
    <n v="45.325000000000003"/>
    <n v="951.82500000000005"/>
    <x v="1"/>
    <d v="1899-12-30T10:53:00"/>
    <x v="0"/>
    <n v="906.5"/>
    <n v="4.7619047620000003"/>
    <n v="45.325000000000003"/>
    <n v="7.3"/>
  </r>
  <r>
    <s v="286-75-7818"/>
    <x v="2"/>
    <x v="2"/>
    <s v="Normal"/>
    <x v="1"/>
    <x v="5"/>
    <n v="69.08"/>
    <n v="2"/>
    <n v="6.9080000000000004"/>
    <n v="145.06800000000001"/>
    <x v="82"/>
    <d v="1899-12-30T19:48:00"/>
    <x v="2"/>
    <n v="138.16"/>
    <n v="4.7619047620000003"/>
    <n v="6.9080000000000004"/>
    <n v="6.9"/>
  </r>
  <r>
    <s v="574-57-9721"/>
    <x v="1"/>
    <x v="1"/>
    <s v="Normal"/>
    <x v="1"/>
    <x v="4"/>
    <n v="43.27"/>
    <n v="2"/>
    <n v="4.327"/>
    <n v="90.867000000000004"/>
    <x v="1"/>
    <d v="1899-12-30T16:53:00"/>
    <x v="0"/>
    <n v="86.54"/>
    <n v="4.7619047620000003"/>
    <n v="4.327"/>
    <n v="5.7"/>
  </r>
  <r>
    <s v="459-50-7686"/>
    <x v="0"/>
    <x v="0"/>
    <s v="Normal"/>
    <x v="0"/>
    <x v="1"/>
    <n v="23.46"/>
    <n v="6"/>
    <n v="7.0380000000000003"/>
    <n v="147.798"/>
    <x v="50"/>
    <d v="1899-12-30T19:14:00"/>
    <x v="0"/>
    <n v="140.76"/>
    <n v="4.7619047620000003"/>
    <n v="7.0380000000000003"/>
    <n v="6.4"/>
  </r>
  <r>
    <s v="616-87-0016"/>
    <x v="2"/>
    <x v="2"/>
    <s v="Normal"/>
    <x v="1"/>
    <x v="5"/>
    <n v="95.54"/>
    <n v="7"/>
    <n v="33.439"/>
    <n v="702.21900000000005"/>
    <x v="11"/>
    <d v="1899-12-30T14:36:00"/>
    <x v="2"/>
    <n v="668.78"/>
    <n v="4.7619047620000003"/>
    <n v="33.439"/>
    <n v="9.6"/>
  </r>
  <r>
    <s v="837-55-7229"/>
    <x v="2"/>
    <x v="2"/>
    <s v="Normal"/>
    <x v="0"/>
    <x v="5"/>
    <n v="47.44"/>
    <n v="1"/>
    <n v="2.3719999999999999"/>
    <n v="49.811999999999998"/>
    <x v="70"/>
    <d v="1899-12-30T18:19:00"/>
    <x v="2"/>
    <n v="47.44"/>
    <n v="4.7619047620000003"/>
    <n v="2.3719999999999999"/>
    <n v="6.8"/>
  </r>
  <r>
    <s v="751-69-0068"/>
    <x v="1"/>
    <x v="1"/>
    <s v="Normal"/>
    <x v="1"/>
    <x v="3"/>
    <n v="99.24"/>
    <n v="9"/>
    <n v="44.658000000000001"/>
    <n v="937.81799999999998"/>
    <x v="35"/>
    <d v="1899-12-30T19:09:00"/>
    <x v="0"/>
    <n v="893.16"/>
    <n v="4.7619047620000003"/>
    <n v="44.658000000000001"/>
    <n v="9"/>
  </r>
  <r>
    <s v="257-73-1380"/>
    <x v="1"/>
    <x v="1"/>
    <s v="Member"/>
    <x v="1"/>
    <x v="3"/>
    <n v="82.93"/>
    <n v="4"/>
    <n v="16.585999999999999"/>
    <n v="348.30599999999998"/>
    <x v="40"/>
    <d v="1899-12-30T16:51:00"/>
    <x v="0"/>
    <n v="331.72"/>
    <n v="4.7619047620000003"/>
    <n v="16.585999999999999"/>
    <n v="9.6"/>
  </r>
  <r>
    <s v="345-08-4992"/>
    <x v="0"/>
    <x v="0"/>
    <s v="Normal"/>
    <x v="1"/>
    <x v="2"/>
    <n v="33.99"/>
    <n v="6"/>
    <n v="10.196999999999999"/>
    <n v="214.137"/>
    <x v="1"/>
    <d v="1899-12-30T15:37:00"/>
    <x v="2"/>
    <n v="203.94"/>
    <n v="4.7619047620000003"/>
    <n v="10.196999999999999"/>
    <n v="7.7"/>
  </r>
  <r>
    <s v="549-96-4200"/>
    <x v="1"/>
    <x v="1"/>
    <s v="Member"/>
    <x v="1"/>
    <x v="4"/>
    <n v="17.04"/>
    <n v="4"/>
    <n v="3.4079999999999999"/>
    <n v="71.567999999999998"/>
    <x v="1"/>
    <d v="1899-12-30T20:15:00"/>
    <x v="0"/>
    <n v="68.16"/>
    <n v="4.7619047620000003"/>
    <n v="3.4079999999999999"/>
    <n v="7"/>
  </r>
  <r>
    <s v="810-60-6344"/>
    <x v="1"/>
    <x v="1"/>
    <s v="Normal"/>
    <x v="0"/>
    <x v="1"/>
    <n v="40.86"/>
    <n v="8"/>
    <n v="16.344000000000001"/>
    <n v="343.22399999999999"/>
    <x v="13"/>
    <d v="1899-12-30T14:38:00"/>
    <x v="2"/>
    <n v="326.88"/>
    <n v="4.7619047620000003"/>
    <n v="16.344000000000001"/>
    <n v="6.5"/>
  </r>
  <r>
    <s v="450-28-2866"/>
    <x v="1"/>
    <x v="1"/>
    <s v="Member"/>
    <x v="1"/>
    <x v="4"/>
    <n v="17.440000000000001"/>
    <n v="5"/>
    <n v="4.3600000000000003"/>
    <n v="91.56"/>
    <x v="15"/>
    <d v="1899-12-30T19:25:00"/>
    <x v="1"/>
    <n v="87.2"/>
    <n v="4.7619047620000003"/>
    <n v="4.3600000000000003"/>
    <n v="8.1"/>
  </r>
  <r>
    <s v="394-30-3170"/>
    <x v="2"/>
    <x v="2"/>
    <s v="Member"/>
    <x v="0"/>
    <x v="3"/>
    <n v="88.43"/>
    <n v="8"/>
    <n v="35.372"/>
    <n v="742.81200000000001"/>
    <x v="23"/>
    <d v="1899-12-30T19:35:00"/>
    <x v="2"/>
    <n v="707.44"/>
    <n v="4.7619047620000003"/>
    <n v="35.372"/>
    <n v="4.3"/>
  </r>
  <r>
    <s v="138-17-5109"/>
    <x v="0"/>
    <x v="0"/>
    <s v="Member"/>
    <x v="0"/>
    <x v="2"/>
    <n v="89.21"/>
    <n v="9"/>
    <n v="40.144500000000001"/>
    <n v="843.03449999999998"/>
    <x v="15"/>
    <d v="1899-12-30T15:42:00"/>
    <x v="2"/>
    <n v="802.89"/>
    <n v="4.7619047620000003"/>
    <n v="40.144500000000001"/>
    <n v="6.5"/>
  </r>
  <r>
    <s v="192-98-7397"/>
    <x v="1"/>
    <x v="1"/>
    <s v="Normal"/>
    <x v="1"/>
    <x v="5"/>
    <n v="12.78"/>
    <n v="1"/>
    <n v="0.63900000000000001"/>
    <n v="13.419"/>
    <x v="66"/>
    <d v="1899-12-30T14:11:00"/>
    <x v="0"/>
    <n v="12.78"/>
    <n v="4.7619047620000003"/>
    <n v="0.63900000000000001"/>
    <n v="9.5"/>
  </r>
  <r>
    <s v="301-11-9629"/>
    <x v="0"/>
    <x v="0"/>
    <s v="Normal"/>
    <x v="0"/>
    <x v="3"/>
    <n v="19.100000000000001"/>
    <n v="7"/>
    <n v="6.6849999999999996"/>
    <n v="140.38499999999999"/>
    <x v="15"/>
    <d v="1899-12-30T10:43:00"/>
    <x v="1"/>
    <n v="133.69999999999999"/>
    <n v="4.7619047620000003"/>
    <n v="6.6849999999999996"/>
    <n v="9.6999999999999993"/>
  </r>
  <r>
    <s v="390-80-5128"/>
    <x v="2"/>
    <x v="2"/>
    <s v="Member"/>
    <x v="0"/>
    <x v="0"/>
    <n v="19.149999999999999"/>
    <n v="1"/>
    <n v="0.95750000000000002"/>
    <n v="20.107500000000002"/>
    <x v="26"/>
    <d v="1899-12-30T17:58:00"/>
    <x v="2"/>
    <n v="19.149999999999999"/>
    <n v="4.7619047620000003"/>
    <n v="0.95750000000000002"/>
    <n v="9.5"/>
  </r>
  <r>
    <s v="235-46-8343"/>
    <x v="1"/>
    <x v="1"/>
    <s v="Member"/>
    <x v="1"/>
    <x v="4"/>
    <n v="27.66"/>
    <n v="10"/>
    <n v="13.83"/>
    <n v="290.43"/>
    <x v="44"/>
    <d v="1899-12-30T11:26:00"/>
    <x v="2"/>
    <n v="276.60000000000002"/>
    <n v="4.7619047620000003"/>
    <n v="13.83"/>
    <n v="8.9"/>
  </r>
  <r>
    <s v="453-12-7053"/>
    <x v="1"/>
    <x v="1"/>
    <s v="Normal"/>
    <x v="1"/>
    <x v="5"/>
    <n v="45.74"/>
    <n v="3"/>
    <n v="6.8609999999999998"/>
    <n v="144.08099999999999"/>
    <x v="24"/>
    <d v="1899-12-30T17:38:00"/>
    <x v="2"/>
    <n v="137.22"/>
    <n v="4.7619047620000003"/>
    <n v="6.8609999999999998"/>
    <n v="6.5"/>
  </r>
  <r>
    <s v="296-11-7041"/>
    <x v="2"/>
    <x v="2"/>
    <s v="Member"/>
    <x v="0"/>
    <x v="0"/>
    <n v="27.07"/>
    <n v="1"/>
    <n v="1.3534999999999999"/>
    <n v="28.423500000000001"/>
    <x v="52"/>
    <d v="1899-12-30T20:07:00"/>
    <x v="2"/>
    <n v="27.07"/>
    <n v="4.7619047620000003"/>
    <n v="1.3534999999999999"/>
    <n v="5.3"/>
  </r>
  <r>
    <s v="449-27-2918"/>
    <x v="2"/>
    <x v="2"/>
    <s v="Member"/>
    <x v="0"/>
    <x v="3"/>
    <n v="39.119999999999997"/>
    <n v="1"/>
    <n v="1.956"/>
    <n v="41.076000000000001"/>
    <x v="58"/>
    <d v="1899-12-30T11:02:00"/>
    <x v="2"/>
    <n v="39.119999999999997"/>
    <n v="4.7619047620000003"/>
    <n v="1.956"/>
    <n v="9.6"/>
  </r>
  <r>
    <s v="891-01-7034"/>
    <x v="2"/>
    <x v="2"/>
    <s v="Normal"/>
    <x v="0"/>
    <x v="1"/>
    <n v="74.709999999999994"/>
    <n v="6"/>
    <n v="22.413"/>
    <n v="470.673"/>
    <x v="17"/>
    <d v="1899-12-30T19:07:00"/>
    <x v="1"/>
    <n v="448.26"/>
    <n v="4.7619047620000003"/>
    <n v="22.413"/>
    <n v="6.7"/>
  </r>
  <r>
    <s v="744-09-5786"/>
    <x v="2"/>
    <x v="2"/>
    <s v="Normal"/>
    <x v="1"/>
    <x v="1"/>
    <n v="22.01"/>
    <n v="6"/>
    <n v="6.6029999999999998"/>
    <n v="138.66300000000001"/>
    <x v="56"/>
    <d v="1899-12-30T18:50:00"/>
    <x v="1"/>
    <n v="132.06"/>
    <n v="4.7619047620000003"/>
    <n v="6.6029999999999998"/>
    <n v="7.6"/>
  </r>
  <r>
    <s v="727-17-0390"/>
    <x v="0"/>
    <x v="0"/>
    <s v="Normal"/>
    <x v="0"/>
    <x v="4"/>
    <n v="63.61"/>
    <n v="5"/>
    <n v="15.9025"/>
    <n v="333.95249999999999"/>
    <x v="32"/>
    <d v="1899-12-30T12:43:00"/>
    <x v="0"/>
    <n v="318.05"/>
    <n v="4.7619047620000003"/>
    <n v="15.9025"/>
    <n v="4.8"/>
  </r>
  <r>
    <s v="568-88-3448"/>
    <x v="0"/>
    <x v="0"/>
    <s v="Normal"/>
    <x v="1"/>
    <x v="0"/>
    <n v="25"/>
    <n v="1"/>
    <n v="1.25"/>
    <n v="26.25"/>
    <x v="2"/>
    <d v="1899-12-30T15:09:00"/>
    <x v="0"/>
    <n v="25"/>
    <n v="4.7619047620000003"/>
    <n v="1.25"/>
    <n v="5.5"/>
  </r>
  <r>
    <s v="187-83-5490"/>
    <x v="0"/>
    <x v="0"/>
    <s v="Member"/>
    <x v="1"/>
    <x v="1"/>
    <n v="20.77"/>
    <n v="4"/>
    <n v="4.1539999999999999"/>
    <n v="87.233999999999995"/>
    <x v="82"/>
    <d v="1899-12-30T13:47:00"/>
    <x v="1"/>
    <n v="83.08"/>
    <n v="4.7619047620000003"/>
    <n v="4.1539999999999999"/>
    <n v="4.7"/>
  </r>
  <r>
    <s v="767-54-1907"/>
    <x v="2"/>
    <x v="2"/>
    <s v="Member"/>
    <x v="0"/>
    <x v="5"/>
    <n v="29.56"/>
    <n v="5"/>
    <n v="7.39"/>
    <n v="155.19"/>
    <x v="77"/>
    <d v="1899-12-30T16:59:00"/>
    <x v="1"/>
    <n v="147.80000000000001"/>
    <n v="4.7619047620000003"/>
    <n v="7.39"/>
    <n v="6.9"/>
  </r>
  <r>
    <s v="710-46-4433"/>
    <x v="2"/>
    <x v="2"/>
    <s v="Member"/>
    <x v="0"/>
    <x v="4"/>
    <n v="77.400000000000006"/>
    <n v="9"/>
    <n v="34.83"/>
    <n v="731.43"/>
    <x v="42"/>
    <d v="1899-12-30T14:15:00"/>
    <x v="2"/>
    <n v="696.6"/>
    <n v="4.7619047620000003"/>
    <n v="34.83"/>
    <n v="4.5"/>
  </r>
  <r>
    <s v="533-33-5337"/>
    <x v="2"/>
    <x v="2"/>
    <s v="Normal"/>
    <x v="1"/>
    <x v="1"/>
    <n v="79.39"/>
    <n v="10"/>
    <n v="39.695"/>
    <n v="833.59500000000003"/>
    <x v="13"/>
    <d v="1899-12-30T20:24:00"/>
    <x v="1"/>
    <n v="793.9"/>
    <n v="4.7619047620000003"/>
    <n v="39.695"/>
    <n v="6.2"/>
  </r>
  <r>
    <s v="325-90-8763"/>
    <x v="1"/>
    <x v="1"/>
    <s v="Member"/>
    <x v="0"/>
    <x v="1"/>
    <n v="46.57"/>
    <n v="10"/>
    <n v="23.285"/>
    <n v="488.98500000000001"/>
    <x v="3"/>
    <d v="1899-12-30T13:58:00"/>
    <x v="1"/>
    <n v="465.7"/>
    <n v="4.7619047620000003"/>
    <n v="23.285"/>
    <n v="7.6"/>
  </r>
  <r>
    <s v="729-46-7422"/>
    <x v="1"/>
    <x v="1"/>
    <s v="Normal"/>
    <x v="1"/>
    <x v="4"/>
    <n v="35.89"/>
    <n v="1"/>
    <n v="1.7945"/>
    <n v="37.6845"/>
    <x v="55"/>
    <d v="1899-12-30T16:52:00"/>
    <x v="2"/>
    <n v="35.89"/>
    <n v="4.7619047620000003"/>
    <n v="1.7945"/>
    <n v="7.9"/>
  </r>
  <r>
    <s v="639-76-1242"/>
    <x v="1"/>
    <x v="1"/>
    <s v="Normal"/>
    <x v="1"/>
    <x v="4"/>
    <n v="40.520000000000003"/>
    <n v="5"/>
    <n v="10.130000000000001"/>
    <n v="212.73"/>
    <x v="36"/>
    <d v="1899-12-30T15:19:00"/>
    <x v="1"/>
    <n v="202.6"/>
    <n v="4.7619047620000003"/>
    <n v="10.130000000000001"/>
    <n v="4.5"/>
  </r>
  <r>
    <s v="234-03-4040"/>
    <x v="2"/>
    <x v="2"/>
    <s v="Member"/>
    <x v="0"/>
    <x v="4"/>
    <n v="73.05"/>
    <n v="10"/>
    <n v="36.524999999999999"/>
    <n v="767.02499999999998"/>
    <x v="2"/>
    <d v="1899-12-30T12:25:00"/>
    <x v="2"/>
    <n v="730.5"/>
    <n v="4.7619047620000003"/>
    <n v="36.524999999999999"/>
    <n v="8.6999999999999993"/>
  </r>
  <r>
    <s v="326-71-2155"/>
    <x v="1"/>
    <x v="1"/>
    <s v="Normal"/>
    <x v="0"/>
    <x v="3"/>
    <n v="73.95"/>
    <n v="4"/>
    <n v="14.79"/>
    <n v="310.58999999999997"/>
    <x v="36"/>
    <d v="1899-12-30T10:02:00"/>
    <x v="1"/>
    <n v="295.8"/>
    <n v="4.7619047620000003"/>
    <n v="14.79"/>
    <n v="6.1"/>
  </r>
  <r>
    <s v="320-32-8842"/>
    <x v="1"/>
    <x v="1"/>
    <s v="Member"/>
    <x v="0"/>
    <x v="4"/>
    <n v="22.62"/>
    <n v="1"/>
    <n v="1.131"/>
    <n v="23.751000000000001"/>
    <x v="85"/>
    <d v="1899-12-30T18:58:00"/>
    <x v="1"/>
    <n v="22.62"/>
    <n v="4.7619047620000003"/>
    <n v="1.131"/>
    <n v="6.4"/>
  </r>
  <r>
    <s v="470-32-9057"/>
    <x v="0"/>
    <x v="0"/>
    <s v="Member"/>
    <x v="1"/>
    <x v="4"/>
    <n v="51.34"/>
    <n v="5"/>
    <n v="12.835000000000001"/>
    <n v="269.53500000000003"/>
    <x v="61"/>
    <d v="1899-12-30T15:31:00"/>
    <x v="2"/>
    <n v="256.7"/>
    <n v="4.7619047620000003"/>
    <n v="12.835000000000001"/>
    <n v="9.1"/>
  </r>
  <r>
    <s v="878-30-2331"/>
    <x v="1"/>
    <x v="1"/>
    <s v="Member"/>
    <x v="0"/>
    <x v="3"/>
    <n v="54.55"/>
    <n v="10"/>
    <n v="27.274999999999999"/>
    <n v="572.77499999999998"/>
    <x v="22"/>
    <d v="1899-12-30T11:22:00"/>
    <x v="2"/>
    <n v="545.5"/>
    <n v="4.7619047620000003"/>
    <n v="27.274999999999999"/>
    <n v="7.1"/>
  </r>
  <r>
    <s v="440-59-5691"/>
    <x v="1"/>
    <x v="1"/>
    <s v="Member"/>
    <x v="0"/>
    <x v="0"/>
    <n v="37.15"/>
    <n v="7"/>
    <n v="13.0025"/>
    <n v="273.05250000000001"/>
    <x v="4"/>
    <d v="1899-12-30T13:12:00"/>
    <x v="2"/>
    <n v="260.05"/>
    <n v="4.7619047620000003"/>
    <n v="13.0025"/>
    <n v="7.7"/>
  </r>
  <r>
    <s v="554-53-3790"/>
    <x v="2"/>
    <x v="2"/>
    <s v="Normal"/>
    <x v="1"/>
    <x v="3"/>
    <n v="37.020000000000003"/>
    <n v="6"/>
    <n v="11.106"/>
    <n v="233.226"/>
    <x v="23"/>
    <d v="1899-12-30T18:33:00"/>
    <x v="1"/>
    <n v="222.12"/>
    <n v="4.7619047620000003"/>
    <n v="11.106"/>
    <n v="4.5"/>
  </r>
  <r>
    <s v="746-19-0921"/>
    <x v="1"/>
    <x v="1"/>
    <s v="Normal"/>
    <x v="1"/>
    <x v="4"/>
    <n v="21.58"/>
    <n v="1"/>
    <n v="1.079"/>
    <n v="22.658999999999999"/>
    <x v="57"/>
    <d v="1899-12-30T10:02:00"/>
    <x v="0"/>
    <n v="21.58"/>
    <n v="4.7619047620000003"/>
    <n v="1.079"/>
    <n v="7.2"/>
  </r>
  <r>
    <s v="233-34-0817"/>
    <x v="1"/>
    <x v="1"/>
    <s v="Member"/>
    <x v="0"/>
    <x v="1"/>
    <n v="98.84"/>
    <n v="1"/>
    <n v="4.9420000000000002"/>
    <n v="103.782"/>
    <x v="42"/>
    <d v="1899-12-30T11:21:00"/>
    <x v="1"/>
    <n v="98.84"/>
    <n v="4.7619047620000003"/>
    <n v="4.9420000000000002"/>
    <n v="8.4"/>
  </r>
  <r>
    <s v="767-05-1286"/>
    <x v="1"/>
    <x v="1"/>
    <s v="Member"/>
    <x v="0"/>
    <x v="2"/>
    <n v="83.77"/>
    <n v="6"/>
    <n v="25.131"/>
    <n v="527.75099999999998"/>
    <x v="54"/>
    <d v="1899-12-30T12:10:00"/>
    <x v="0"/>
    <n v="502.62"/>
    <n v="4.7619047620000003"/>
    <n v="25.131"/>
    <n v="5.4"/>
  </r>
  <r>
    <s v="340-21-9136"/>
    <x v="0"/>
    <x v="0"/>
    <s v="Member"/>
    <x v="0"/>
    <x v="3"/>
    <n v="40.049999999999997"/>
    <n v="4"/>
    <n v="8.01"/>
    <n v="168.21"/>
    <x v="25"/>
    <d v="1899-12-30T11:40:00"/>
    <x v="1"/>
    <n v="160.19999999999999"/>
    <n v="4.7619047620000003"/>
    <n v="8.01"/>
    <n v="9.6999999999999993"/>
  </r>
  <r>
    <s v="405-31-3305"/>
    <x v="0"/>
    <x v="0"/>
    <s v="Member"/>
    <x v="1"/>
    <x v="5"/>
    <n v="43.13"/>
    <n v="10"/>
    <n v="21.565000000000001"/>
    <n v="452.86500000000001"/>
    <x v="30"/>
    <d v="1899-12-30T18:31:00"/>
    <x v="2"/>
    <n v="431.3"/>
    <n v="4.7619047620000003"/>
    <n v="21.565000000000001"/>
    <n v="5.5"/>
  </r>
  <r>
    <s v="731-59-7531"/>
    <x v="2"/>
    <x v="2"/>
    <s v="Member"/>
    <x v="1"/>
    <x v="0"/>
    <n v="72.569999999999993"/>
    <n v="8"/>
    <n v="29.027999999999999"/>
    <n v="609.58799999999997"/>
    <x v="73"/>
    <d v="1899-12-30T17:58:00"/>
    <x v="1"/>
    <n v="580.55999999999995"/>
    <n v="4.7619047620000003"/>
    <n v="29.027999999999999"/>
    <n v="4.5999999999999996"/>
  </r>
  <r>
    <s v="676-39-6028"/>
    <x v="0"/>
    <x v="0"/>
    <s v="Member"/>
    <x v="0"/>
    <x v="1"/>
    <n v="64.44"/>
    <n v="5"/>
    <n v="16.11"/>
    <n v="338.31"/>
    <x v="73"/>
    <d v="1899-12-30T17:04:00"/>
    <x v="1"/>
    <n v="322.2"/>
    <n v="4.7619047620000003"/>
    <n v="16.11"/>
    <n v="6.6"/>
  </r>
  <r>
    <s v="502-05-1910"/>
    <x v="0"/>
    <x v="0"/>
    <s v="Normal"/>
    <x v="1"/>
    <x v="0"/>
    <n v="65.180000000000007"/>
    <n v="3"/>
    <n v="9.7769999999999992"/>
    <n v="205.31700000000001"/>
    <x v="6"/>
    <d v="1899-12-30T20:35:00"/>
    <x v="2"/>
    <n v="195.54"/>
    <n v="4.7619047620000003"/>
    <n v="9.7769999999999992"/>
    <n v="6.3"/>
  </r>
  <r>
    <s v="485-30-8700"/>
    <x v="0"/>
    <x v="0"/>
    <s v="Normal"/>
    <x v="0"/>
    <x v="3"/>
    <n v="33.26"/>
    <n v="5"/>
    <n v="8.3149999999999995"/>
    <n v="174.61500000000001"/>
    <x v="79"/>
    <d v="1899-12-30T16:10:00"/>
    <x v="2"/>
    <n v="166.3"/>
    <n v="4.7619047620000003"/>
    <n v="8.3149999999999995"/>
    <n v="4.2"/>
  </r>
  <r>
    <s v="598-47-9715"/>
    <x v="1"/>
    <x v="1"/>
    <s v="Normal"/>
    <x v="1"/>
    <x v="1"/>
    <n v="84.07"/>
    <n v="4"/>
    <n v="16.814"/>
    <n v="353.09399999999999"/>
    <x v="37"/>
    <d v="1899-12-30T16:54:00"/>
    <x v="0"/>
    <n v="336.28"/>
    <n v="4.7619047620000003"/>
    <n v="16.814"/>
    <n v="4.4000000000000004"/>
  </r>
  <r>
    <s v="701-69-8742"/>
    <x v="2"/>
    <x v="2"/>
    <s v="Normal"/>
    <x v="1"/>
    <x v="3"/>
    <n v="34.369999999999997"/>
    <n v="10"/>
    <n v="17.184999999999999"/>
    <n v="360.88499999999999"/>
    <x v="32"/>
    <d v="1899-12-30T10:11:00"/>
    <x v="0"/>
    <n v="343.7"/>
    <n v="4.7619047620000003"/>
    <n v="17.184999999999999"/>
    <n v="6.7"/>
  </r>
  <r>
    <s v="575-67-1508"/>
    <x v="0"/>
    <x v="0"/>
    <s v="Normal"/>
    <x v="1"/>
    <x v="1"/>
    <n v="38.6"/>
    <n v="1"/>
    <n v="1.93"/>
    <n v="40.53"/>
    <x v="71"/>
    <d v="1899-12-30T11:26:00"/>
    <x v="0"/>
    <n v="38.6"/>
    <n v="4.7619047620000003"/>
    <n v="1.93"/>
    <n v="6.7"/>
  </r>
  <r>
    <s v="541-08-3113"/>
    <x v="1"/>
    <x v="1"/>
    <s v="Normal"/>
    <x v="1"/>
    <x v="4"/>
    <n v="65.97"/>
    <n v="8"/>
    <n v="26.388000000000002"/>
    <n v="554.14800000000002"/>
    <x v="30"/>
    <d v="1899-12-30T20:29:00"/>
    <x v="1"/>
    <n v="527.76"/>
    <n v="4.7619047620000003"/>
    <n v="26.388000000000002"/>
    <n v="8.4"/>
  </r>
  <r>
    <s v="246-11-3901"/>
    <x v="1"/>
    <x v="1"/>
    <s v="Normal"/>
    <x v="0"/>
    <x v="1"/>
    <n v="32.799999999999997"/>
    <n v="10"/>
    <n v="16.399999999999999"/>
    <n v="344.4"/>
    <x v="42"/>
    <d v="1899-12-30T12:12:00"/>
    <x v="1"/>
    <n v="328"/>
    <n v="4.7619047620000003"/>
    <n v="16.399999999999999"/>
    <n v="6.2"/>
  </r>
  <r>
    <s v="674-15-9296"/>
    <x v="0"/>
    <x v="0"/>
    <s v="Normal"/>
    <x v="1"/>
    <x v="3"/>
    <n v="37.14"/>
    <n v="5"/>
    <n v="9.2850000000000001"/>
    <n v="194.98500000000001"/>
    <x v="66"/>
    <d v="1899-12-30T13:05:00"/>
    <x v="0"/>
    <n v="185.7"/>
    <n v="4.7619047620000003"/>
    <n v="9.2850000000000001"/>
    <n v="5"/>
  </r>
  <r>
    <s v="305-18-3552"/>
    <x v="2"/>
    <x v="2"/>
    <s v="Member"/>
    <x v="1"/>
    <x v="2"/>
    <n v="60.38"/>
    <n v="10"/>
    <n v="30.19"/>
    <n v="633.99"/>
    <x v="12"/>
    <d v="1899-12-30T16:19:00"/>
    <x v="1"/>
    <n v="603.79999999999995"/>
    <n v="4.7619047620000003"/>
    <n v="30.19"/>
    <n v="6"/>
  </r>
  <r>
    <s v="493-65-6248"/>
    <x v="1"/>
    <x v="1"/>
    <s v="Member"/>
    <x v="0"/>
    <x v="3"/>
    <n v="36.979999999999997"/>
    <n v="10"/>
    <n v="18.489999999999998"/>
    <n v="388.29"/>
    <x v="17"/>
    <d v="1899-12-30T19:48:00"/>
    <x v="2"/>
    <n v="369.8"/>
    <n v="4.7619047620000003"/>
    <n v="18.489999999999998"/>
    <n v="7"/>
  </r>
  <r>
    <s v="438-01-4015"/>
    <x v="2"/>
    <x v="2"/>
    <s v="Member"/>
    <x v="0"/>
    <x v="3"/>
    <n v="49.49"/>
    <n v="4"/>
    <n v="9.8979999999999997"/>
    <n v="207.858"/>
    <x v="76"/>
    <d v="1899-12-30T15:25:00"/>
    <x v="0"/>
    <n v="197.96"/>
    <n v="4.7619047620000003"/>
    <n v="9.8979999999999997"/>
    <n v="6.6"/>
  </r>
  <r>
    <s v="709-58-4068"/>
    <x v="2"/>
    <x v="2"/>
    <s v="Normal"/>
    <x v="0"/>
    <x v="5"/>
    <n v="41.09"/>
    <n v="10"/>
    <n v="20.545000000000002"/>
    <n v="431.44499999999999"/>
    <x v="38"/>
    <d v="1899-12-30T14:42:00"/>
    <x v="1"/>
    <n v="410.9"/>
    <n v="4.7619047620000003"/>
    <n v="20.545000000000002"/>
    <n v="7.3"/>
  </r>
  <r>
    <s v="795-49-7276"/>
    <x v="0"/>
    <x v="0"/>
    <s v="Normal"/>
    <x v="1"/>
    <x v="5"/>
    <n v="37.15"/>
    <n v="4"/>
    <n v="7.43"/>
    <n v="156.03"/>
    <x v="28"/>
    <d v="1899-12-30T18:59:00"/>
    <x v="0"/>
    <n v="148.6"/>
    <n v="4.7619047620000003"/>
    <n v="7.43"/>
    <n v="8.3000000000000007"/>
  </r>
  <r>
    <s v="556-72-8512"/>
    <x v="1"/>
    <x v="1"/>
    <s v="Normal"/>
    <x v="1"/>
    <x v="2"/>
    <n v="22.96"/>
    <n v="1"/>
    <n v="1.1479999999999999"/>
    <n v="24.108000000000001"/>
    <x v="74"/>
    <d v="1899-12-30T20:47:00"/>
    <x v="1"/>
    <n v="22.96"/>
    <n v="4.7619047620000003"/>
    <n v="1.1479999999999999"/>
    <n v="4.3"/>
  </r>
  <r>
    <s v="627-95-3243"/>
    <x v="2"/>
    <x v="2"/>
    <s v="Member"/>
    <x v="0"/>
    <x v="2"/>
    <n v="77.680000000000007"/>
    <n v="9"/>
    <n v="34.956000000000003"/>
    <n v="734.07600000000002"/>
    <x v="87"/>
    <d v="1899-12-30T13:21:00"/>
    <x v="0"/>
    <n v="699.12"/>
    <n v="4.7619047620000003"/>
    <n v="34.956000000000003"/>
    <n v="9.8000000000000007"/>
  </r>
  <r>
    <s v="686-41-0932"/>
    <x v="2"/>
    <x v="2"/>
    <s v="Normal"/>
    <x v="0"/>
    <x v="5"/>
    <n v="34.700000000000003"/>
    <n v="2"/>
    <n v="3.47"/>
    <n v="72.87"/>
    <x v="45"/>
    <d v="1899-12-30T19:48:00"/>
    <x v="0"/>
    <n v="69.400000000000006"/>
    <n v="4.7619047620000003"/>
    <n v="3.47"/>
    <n v="8.1999999999999993"/>
  </r>
  <r>
    <s v="510-09-5628"/>
    <x v="0"/>
    <x v="0"/>
    <s v="Member"/>
    <x v="0"/>
    <x v="5"/>
    <n v="19.66"/>
    <n v="10"/>
    <n v="9.83"/>
    <n v="206.43"/>
    <x v="20"/>
    <d v="1899-12-30T18:20:00"/>
    <x v="2"/>
    <n v="196.6"/>
    <n v="4.7619047620000003"/>
    <n v="9.83"/>
    <n v="7.2"/>
  </r>
  <r>
    <s v="608-04-3797"/>
    <x v="2"/>
    <x v="2"/>
    <s v="Member"/>
    <x v="0"/>
    <x v="0"/>
    <n v="25.32"/>
    <n v="8"/>
    <n v="10.128"/>
    <n v="212.68799999999999"/>
    <x v="19"/>
    <d v="1899-12-30T20:24:00"/>
    <x v="0"/>
    <n v="202.56"/>
    <n v="4.7619047620000003"/>
    <n v="10.128"/>
    <n v="8.6999999999999993"/>
  </r>
  <r>
    <s v="148-82-2527"/>
    <x v="1"/>
    <x v="1"/>
    <s v="Member"/>
    <x v="0"/>
    <x v="2"/>
    <n v="12.12"/>
    <n v="10"/>
    <n v="6.06"/>
    <n v="127.26"/>
    <x v="19"/>
    <d v="1899-12-30T13:44:00"/>
    <x v="2"/>
    <n v="121.2"/>
    <n v="4.7619047620000003"/>
    <n v="6.06"/>
    <n v="8.4"/>
  </r>
  <r>
    <s v="437-53-3084"/>
    <x v="2"/>
    <x v="2"/>
    <s v="Normal"/>
    <x v="1"/>
    <x v="5"/>
    <n v="99.89"/>
    <n v="2"/>
    <n v="9.9890000000000008"/>
    <n v="209.76900000000001"/>
    <x v="84"/>
    <d v="1899-12-30T11:48:00"/>
    <x v="0"/>
    <n v="199.78"/>
    <n v="4.7619047620000003"/>
    <n v="9.9890000000000008"/>
    <n v="7.1"/>
  </r>
  <r>
    <s v="632-32-4574"/>
    <x v="2"/>
    <x v="2"/>
    <s v="Normal"/>
    <x v="1"/>
    <x v="3"/>
    <n v="75.92"/>
    <n v="8"/>
    <n v="30.367999999999999"/>
    <n v="637.72799999999995"/>
    <x v="80"/>
    <d v="1899-12-30T14:14:00"/>
    <x v="1"/>
    <n v="607.36"/>
    <n v="4.7619047620000003"/>
    <n v="30.367999999999999"/>
    <n v="5.5"/>
  </r>
  <r>
    <s v="556-97-7101"/>
    <x v="1"/>
    <x v="1"/>
    <s v="Normal"/>
    <x v="0"/>
    <x v="1"/>
    <n v="63.22"/>
    <n v="2"/>
    <n v="6.3220000000000001"/>
    <n v="132.762"/>
    <x v="17"/>
    <d v="1899-12-30T15:51:00"/>
    <x v="1"/>
    <n v="126.44"/>
    <n v="4.7619047620000003"/>
    <n v="6.3220000000000001"/>
    <n v="8.5"/>
  </r>
  <r>
    <s v="862-59-8517"/>
    <x v="1"/>
    <x v="1"/>
    <s v="Normal"/>
    <x v="0"/>
    <x v="4"/>
    <n v="90.24"/>
    <n v="6"/>
    <n v="27.071999999999999"/>
    <n v="568.51199999999994"/>
    <x v="3"/>
    <d v="1899-12-30T11:17:00"/>
    <x v="1"/>
    <n v="541.44000000000005"/>
    <n v="4.7619047620000003"/>
    <n v="27.071999999999999"/>
    <n v="6.2"/>
  </r>
  <r>
    <s v="401-18-8016"/>
    <x v="2"/>
    <x v="2"/>
    <s v="Member"/>
    <x v="0"/>
    <x v="3"/>
    <n v="98.13"/>
    <n v="1"/>
    <n v="4.9065000000000003"/>
    <n v="103.0365"/>
    <x v="18"/>
    <d v="1899-12-30T17:36:00"/>
    <x v="1"/>
    <n v="98.13"/>
    <n v="4.7619047620000003"/>
    <n v="4.9065000000000003"/>
    <n v="8.9"/>
  </r>
  <r>
    <s v="420-18-8989"/>
    <x v="0"/>
    <x v="0"/>
    <s v="Member"/>
    <x v="0"/>
    <x v="3"/>
    <n v="51.52"/>
    <n v="8"/>
    <n v="20.608000000000001"/>
    <n v="432.76799999999997"/>
    <x v="30"/>
    <d v="1899-12-30T15:47:00"/>
    <x v="1"/>
    <n v="412.16"/>
    <n v="4.7619047620000003"/>
    <n v="20.608000000000001"/>
    <n v="9.6"/>
  </r>
  <r>
    <s v="277-63-2961"/>
    <x v="2"/>
    <x v="2"/>
    <s v="Member"/>
    <x v="1"/>
    <x v="3"/>
    <n v="73.97"/>
    <n v="1"/>
    <n v="3.6985000000000001"/>
    <n v="77.668499999999995"/>
    <x v="36"/>
    <d v="1899-12-30T15:53:00"/>
    <x v="2"/>
    <n v="73.97"/>
    <n v="4.7619047620000003"/>
    <n v="3.6985000000000001"/>
    <n v="5.4"/>
  </r>
  <r>
    <s v="573-98-8548"/>
    <x v="1"/>
    <x v="1"/>
    <s v="Member"/>
    <x v="0"/>
    <x v="5"/>
    <n v="31.9"/>
    <n v="1"/>
    <n v="1.595"/>
    <n v="33.494999999999997"/>
    <x v="0"/>
    <d v="1899-12-30T12:40:00"/>
    <x v="0"/>
    <n v="31.9"/>
    <n v="4.7619047620000003"/>
    <n v="1.595"/>
    <n v="9.1"/>
  </r>
  <r>
    <s v="620-02-2046"/>
    <x v="1"/>
    <x v="1"/>
    <s v="Normal"/>
    <x v="1"/>
    <x v="2"/>
    <n v="69.400000000000006"/>
    <n v="2"/>
    <n v="6.94"/>
    <n v="145.74"/>
    <x v="3"/>
    <d v="1899-12-30T19:48:00"/>
    <x v="0"/>
    <n v="138.80000000000001"/>
    <n v="4.7619047620000003"/>
    <n v="6.94"/>
    <n v="9"/>
  </r>
  <r>
    <s v="282-35-2475"/>
    <x v="2"/>
    <x v="2"/>
    <s v="Normal"/>
    <x v="0"/>
    <x v="3"/>
    <n v="93.31"/>
    <n v="2"/>
    <n v="9.3309999999999995"/>
    <n v="195.95099999999999"/>
    <x v="5"/>
    <d v="1899-12-30T17:53:00"/>
    <x v="1"/>
    <n v="186.62"/>
    <n v="4.7619047620000003"/>
    <n v="9.3309999999999995"/>
    <n v="6.3"/>
  </r>
  <r>
    <s v="511-54-3087"/>
    <x v="2"/>
    <x v="2"/>
    <s v="Normal"/>
    <x v="1"/>
    <x v="3"/>
    <n v="88.45"/>
    <n v="1"/>
    <n v="4.4225000000000003"/>
    <n v="92.872500000000002"/>
    <x v="6"/>
    <d v="1899-12-30T16:36:00"/>
    <x v="2"/>
    <n v="88.45"/>
    <n v="4.7619047620000003"/>
    <n v="4.4225000000000003"/>
    <n v="9.5"/>
  </r>
  <r>
    <s v="726-29-6793"/>
    <x v="0"/>
    <x v="0"/>
    <s v="Member"/>
    <x v="1"/>
    <x v="1"/>
    <n v="24.18"/>
    <n v="8"/>
    <n v="9.6720000000000006"/>
    <n v="203.11199999999999"/>
    <x v="26"/>
    <d v="1899-12-30T20:54:00"/>
    <x v="0"/>
    <n v="193.44"/>
    <n v="4.7619047620000003"/>
    <n v="9.6720000000000006"/>
    <n v="9.8000000000000007"/>
  </r>
  <r>
    <s v="387-49-4215"/>
    <x v="2"/>
    <x v="2"/>
    <s v="Member"/>
    <x v="0"/>
    <x v="3"/>
    <n v="48.5"/>
    <n v="3"/>
    <n v="7.2750000000000004"/>
    <n v="152.77500000000001"/>
    <x v="66"/>
    <d v="1899-12-30T12:50:00"/>
    <x v="1"/>
    <n v="145.5"/>
    <n v="4.7619047620000003"/>
    <n v="7.2750000000000004"/>
    <n v="6.7"/>
  </r>
  <r>
    <s v="862-17-9201"/>
    <x v="2"/>
    <x v="2"/>
    <s v="Normal"/>
    <x v="0"/>
    <x v="4"/>
    <n v="84.05"/>
    <n v="6"/>
    <n v="25.215"/>
    <n v="529.51499999999999"/>
    <x v="71"/>
    <d v="1899-12-30T10:48:00"/>
    <x v="2"/>
    <n v="504.3"/>
    <n v="4.7619047620000003"/>
    <n v="25.215"/>
    <n v="7.7"/>
  </r>
  <r>
    <s v="291-21-5991"/>
    <x v="2"/>
    <x v="2"/>
    <s v="Member"/>
    <x v="1"/>
    <x v="0"/>
    <n v="61.29"/>
    <n v="5"/>
    <n v="15.3225"/>
    <n v="321.77249999999998"/>
    <x v="14"/>
    <d v="1899-12-30T14:28:00"/>
    <x v="1"/>
    <n v="306.45"/>
    <n v="4.7619047620000003"/>
    <n v="15.3225"/>
    <n v="7"/>
  </r>
  <r>
    <s v="602-80-9671"/>
    <x v="1"/>
    <x v="1"/>
    <s v="Member"/>
    <x v="0"/>
    <x v="2"/>
    <n v="15.95"/>
    <n v="6"/>
    <n v="4.7850000000000001"/>
    <n v="100.485"/>
    <x v="57"/>
    <d v="1899-12-30T17:15:00"/>
    <x v="2"/>
    <n v="95.7"/>
    <n v="4.7619047620000003"/>
    <n v="4.7850000000000001"/>
    <n v="5.0999999999999996"/>
  </r>
  <r>
    <s v="347-72-6115"/>
    <x v="2"/>
    <x v="2"/>
    <s v="Member"/>
    <x v="0"/>
    <x v="3"/>
    <n v="90.74"/>
    <n v="7"/>
    <n v="31.759"/>
    <n v="666.93899999999996"/>
    <x v="65"/>
    <d v="1899-12-30T18:03:00"/>
    <x v="2"/>
    <n v="635.17999999999995"/>
    <n v="4.7619047620000003"/>
    <n v="31.759"/>
    <n v="6.2"/>
  </r>
  <r>
    <s v="209-61-0206"/>
    <x v="0"/>
    <x v="0"/>
    <s v="Normal"/>
    <x v="0"/>
    <x v="2"/>
    <n v="42.91"/>
    <n v="5"/>
    <n v="10.727499999999999"/>
    <n v="225.2775"/>
    <x v="0"/>
    <d v="1899-12-30T17:29:00"/>
    <x v="0"/>
    <n v="214.55"/>
    <n v="4.7619047620000003"/>
    <n v="10.727499999999999"/>
    <n v="6.1"/>
  </r>
  <r>
    <s v="595-27-4851"/>
    <x v="0"/>
    <x v="0"/>
    <s v="Normal"/>
    <x v="0"/>
    <x v="5"/>
    <n v="54.28"/>
    <n v="7"/>
    <n v="18.998000000000001"/>
    <n v="398.95800000000003"/>
    <x v="3"/>
    <d v="1899-12-30T18:05:00"/>
    <x v="0"/>
    <n v="379.96"/>
    <n v="4.7619047620000003"/>
    <n v="18.998000000000001"/>
    <n v="9.3000000000000007"/>
  </r>
  <r>
    <s v="189-52-0236"/>
    <x v="0"/>
    <x v="0"/>
    <s v="Normal"/>
    <x v="1"/>
    <x v="1"/>
    <n v="99.55"/>
    <n v="7"/>
    <n v="34.842500000000001"/>
    <n v="731.6925"/>
    <x v="86"/>
    <d v="1899-12-30T12:07:00"/>
    <x v="1"/>
    <n v="696.85"/>
    <n v="4.7619047620000003"/>
    <n v="34.842500000000001"/>
    <n v="7.6"/>
  </r>
  <r>
    <s v="503-07-0930"/>
    <x v="1"/>
    <x v="1"/>
    <s v="Member"/>
    <x v="1"/>
    <x v="3"/>
    <n v="58.39"/>
    <n v="7"/>
    <n v="20.436499999999999"/>
    <n v="429.16649999999998"/>
    <x v="55"/>
    <d v="1899-12-30T19:49:00"/>
    <x v="2"/>
    <n v="408.73"/>
    <n v="4.7619047620000003"/>
    <n v="20.436499999999999"/>
    <n v="8.1999999999999993"/>
  </r>
  <r>
    <s v="413-20-6708"/>
    <x v="1"/>
    <x v="1"/>
    <s v="Member"/>
    <x v="0"/>
    <x v="5"/>
    <n v="51.47"/>
    <n v="1"/>
    <n v="2.5735000000000001"/>
    <n v="54.043500000000002"/>
    <x v="79"/>
    <d v="1899-12-30T15:52:00"/>
    <x v="0"/>
    <n v="51.47"/>
    <n v="4.7619047620000003"/>
    <n v="2.5735000000000001"/>
    <n v="8.5"/>
  </r>
  <r>
    <s v="425-85-2085"/>
    <x v="2"/>
    <x v="2"/>
    <s v="Member"/>
    <x v="1"/>
    <x v="0"/>
    <n v="54.86"/>
    <n v="5"/>
    <n v="13.715"/>
    <n v="288.01499999999999"/>
    <x v="14"/>
    <d v="1899-12-30T16:48:00"/>
    <x v="0"/>
    <n v="274.3"/>
    <n v="4.7619047620000003"/>
    <n v="13.715"/>
    <n v="9.8000000000000007"/>
  </r>
  <r>
    <s v="521-18-7827"/>
    <x v="1"/>
    <x v="1"/>
    <s v="Member"/>
    <x v="1"/>
    <x v="2"/>
    <n v="39.39"/>
    <n v="5"/>
    <n v="9.8475000000000001"/>
    <n v="206.79750000000001"/>
    <x v="49"/>
    <d v="1899-12-30T20:46:00"/>
    <x v="2"/>
    <n v="196.95"/>
    <n v="4.7619047620000003"/>
    <n v="9.8475000000000001"/>
    <n v="8.6999999999999993"/>
  </r>
  <r>
    <s v="220-28-1851"/>
    <x v="0"/>
    <x v="0"/>
    <s v="Normal"/>
    <x v="1"/>
    <x v="2"/>
    <n v="34.729999999999997"/>
    <n v="2"/>
    <n v="3.4729999999999999"/>
    <n v="72.933000000000007"/>
    <x v="59"/>
    <d v="1899-12-30T18:14:00"/>
    <x v="0"/>
    <n v="69.459999999999994"/>
    <n v="4.7619047620000003"/>
    <n v="3.4729999999999999"/>
    <n v="9.6999999999999993"/>
  </r>
  <r>
    <s v="600-38-9738"/>
    <x v="1"/>
    <x v="1"/>
    <s v="Member"/>
    <x v="1"/>
    <x v="3"/>
    <n v="71.92"/>
    <n v="5"/>
    <n v="17.98"/>
    <n v="377.58"/>
    <x v="29"/>
    <d v="1899-12-30T15:05:00"/>
    <x v="2"/>
    <n v="359.6"/>
    <n v="4.7619047620000003"/>
    <n v="17.98"/>
    <n v="4.3"/>
  </r>
  <r>
    <s v="734-91-1155"/>
    <x v="2"/>
    <x v="2"/>
    <s v="Normal"/>
    <x v="0"/>
    <x v="1"/>
    <n v="45.71"/>
    <n v="3"/>
    <n v="6.8564999999999996"/>
    <n v="143.98650000000001"/>
    <x v="58"/>
    <d v="1899-12-30T10:34:00"/>
    <x v="2"/>
    <n v="137.13"/>
    <n v="4.7619047620000003"/>
    <n v="6.8564999999999996"/>
    <n v="7.7"/>
  </r>
  <r>
    <s v="451-28-5717"/>
    <x v="1"/>
    <x v="1"/>
    <s v="Member"/>
    <x v="0"/>
    <x v="2"/>
    <n v="83.17"/>
    <n v="6"/>
    <n v="24.951000000000001"/>
    <n v="523.971"/>
    <x v="80"/>
    <d v="1899-12-30T11:23:00"/>
    <x v="1"/>
    <n v="499.02"/>
    <n v="4.7619047620000003"/>
    <n v="24.951000000000001"/>
    <n v="7.3"/>
  </r>
  <r>
    <s v="609-81-8548"/>
    <x v="0"/>
    <x v="0"/>
    <s v="Member"/>
    <x v="0"/>
    <x v="2"/>
    <n v="37.44"/>
    <n v="6"/>
    <n v="11.231999999999999"/>
    <n v="235.87200000000001"/>
    <x v="10"/>
    <d v="1899-12-30T13:55:00"/>
    <x v="2"/>
    <n v="224.64"/>
    <n v="4.7619047620000003"/>
    <n v="11.231999999999999"/>
    <n v="5.9"/>
  </r>
  <r>
    <s v="133-14-7229"/>
    <x v="1"/>
    <x v="1"/>
    <s v="Normal"/>
    <x v="1"/>
    <x v="0"/>
    <n v="62.87"/>
    <n v="2"/>
    <n v="6.2869999999999999"/>
    <n v="132.02699999999999"/>
    <x v="17"/>
    <d v="1899-12-30T11:43:00"/>
    <x v="1"/>
    <n v="125.74"/>
    <n v="4.7619047620000003"/>
    <n v="6.2869999999999999"/>
    <n v="5"/>
  </r>
  <r>
    <s v="534-01-4457"/>
    <x v="0"/>
    <x v="0"/>
    <s v="Normal"/>
    <x v="1"/>
    <x v="4"/>
    <n v="81.709999999999994"/>
    <n v="6"/>
    <n v="24.513000000000002"/>
    <n v="514.77300000000002"/>
    <x v="3"/>
    <d v="1899-12-30T14:36:00"/>
    <x v="2"/>
    <n v="490.26"/>
    <n v="4.7619047620000003"/>
    <n v="24.513000000000002"/>
    <n v="8"/>
  </r>
  <r>
    <s v="719-89-8991"/>
    <x v="0"/>
    <x v="0"/>
    <s v="Member"/>
    <x v="0"/>
    <x v="3"/>
    <n v="91.41"/>
    <n v="5"/>
    <n v="22.852499999999999"/>
    <n v="479.90249999999997"/>
    <x v="6"/>
    <d v="1899-12-30T16:03:00"/>
    <x v="0"/>
    <n v="457.05"/>
    <n v="4.7619047620000003"/>
    <n v="22.852499999999999"/>
    <n v="7.1"/>
  </r>
  <r>
    <s v="286-62-6248"/>
    <x v="2"/>
    <x v="2"/>
    <s v="Normal"/>
    <x v="1"/>
    <x v="5"/>
    <n v="39.21"/>
    <n v="4"/>
    <n v="7.8419999999999996"/>
    <n v="164.68199999999999"/>
    <x v="65"/>
    <d v="1899-12-30T20:03:00"/>
    <x v="2"/>
    <n v="156.84"/>
    <n v="4.7619047620000003"/>
    <n v="7.8419999999999996"/>
    <n v="9"/>
  </r>
  <r>
    <s v="339-38-9982"/>
    <x v="2"/>
    <x v="2"/>
    <s v="Member"/>
    <x v="1"/>
    <x v="5"/>
    <n v="59.86"/>
    <n v="2"/>
    <n v="5.9859999999999998"/>
    <n v="125.706"/>
    <x v="50"/>
    <d v="1899-12-30T14:55:00"/>
    <x v="0"/>
    <n v="119.72"/>
    <n v="4.7619047620000003"/>
    <n v="5.9859999999999998"/>
    <n v="6.7"/>
  </r>
  <r>
    <s v="827-44-5872"/>
    <x v="2"/>
    <x v="2"/>
    <s v="Member"/>
    <x v="0"/>
    <x v="4"/>
    <n v="54.36"/>
    <n v="10"/>
    <n v="27.18"/>
    <n v="570.78"/>
    <x v="13"/>
    <d v="1899-12-30T11:28:00"/>
    <x v="2"/>
    <n v="543.6"/>
    <n v="4.7619047620000003"/>
    <n v="27.18"/>
    <n v="6.1"/>
  </r>
  <r>
    <s v="827-77-7633"/>
    <x v="0"/>
    <x v="0"/>
    <s v="Normal"/>
    <x v="1"/>
    <x v="3"/>
    <n v="98.09"/>
    <n v="9"/>
    <n v="44.140500000000003"/>
    <n v="926.95050000000003"/>
    <x v="21"/>
    <d v="1899-12-30T19:41:00"/>
    <x v="1"/>
    <n v="882.81"/>
    <n v="4.7619047620000003"/>
    <n v="44.140500000000003"/>
    <n v="9.3000000000000007"/>
  </r>
  <r>
    <s v="287-83-1405"/>
    <x v="0"/>
    <x v="0"/>
    <s v="Normal"/>
    <x v="1"/>
    <x v="0"/>
    <n v="25.43"/>
    <n v="6"/>
    <n v="7.6289999999999996"/>
    <n v="160.209"/>
    <x v="12"/>
    <d v="1899-12-30T19:01:00"/>
    <x v="0"/>
    <n v="152.58000000000001"/>
    <n v="4.7619047620000003"/>
    <n v="7.6289999999999996"/>
    <n v="7"/>
  </r>
  <r>
    <s v="435-13-4908"/>
    <x v="0"/>
    <x v="0"/>
    <s v="Member"/>
    <x v="1"/>
    <x v="5"/>
    <n v="86.68"/>
    <n v="8"/>
    <n v="34.671999999999997"/>
    <n v="728.11199999999997"/>
    <x v="46"/>
    <d v="1899-12-30T18:04:00"/>
    <x v="2"/>
    <n v="693.44"/>
    <n v="4.7619047620000003"/>
    <n v="34.671999999999997"/>
    <n v="7.2"/>
  </r>
  <r>
    <s v="857-67-9057"/>
    <x v="2"/>
    <x v="2"/>
    <s v="Normal"/>
    <x v="1"/>
    <x v="1"/>
    <n v="22.95"/>
    <n v="10"/>
    <n v="11.475"/>
    <n v="240.97499999999999"/>
    <x v="10"/>
    <d v="1899-12-30T19:20:00"/>
    <x v="0"/>
    <n v="229.5"/>
    <n v="4.7619047620000003"/>
    <n v="11.475"/>
    <n v="8.1999999999999993"/>
  </r>
  <r>
    <s v="236-27-1144"/>
    <x v="1"/>
    <x v="1"/>
    <s v="Normal"/>
    <x v="0"/>
    <x v="4"/>
    <n v="16.309999999999999"/>
    <n v="9"/>
    <n v="7.3395000000000001"/>
    <n v="154.12950000000001"/>
    <x v="58"/>
    <d v="1899-12-30T10:31:00"/>
    <x v="0"/>
    <n v="146.79"/>
    <n v="4.7619047620000003"/>
    <n v="7.3395000000000001"/>
    <n v="8.4"/>
  </r>
  <r>
    <s v="892-05-6689"/>
    <x v="0"/>
    <x v="0"/>
    <s v="Normal"/>
    <x v="0"/>
    <x v="2"/>
    <n v="28.32"/>
    <n v="5"/>
    <n v="7.08"/>
    <n v="148.68"/>
    <x v="16"/>
    <d v="1899-12-30T13:28:00"/>
    <x v="0"/>
    <n v="141.6"/>
    <n v="4.7619047620000003"/>
    <n v="7.08"/>
    <n v="6.2"/>
  </r>
  <r>
    <s v="583-41-4548"/>
    <x v="1"/>
    <x v="1"/>
    <s v="Normal"/>
    <x v="1"/>
    <x v="2"/>
    <n v="16.670000000000002"/>
    <n v="7"/>
    <n v="5.8345000000000002"/>
    <n v="122.5245"/>
    <x v="13"/>
    <d v="1899-12-30T11:36:00"/>
    <x v="0"/>
    <n v="116.69"/>
    <n v="4.7619047620000003"/>
    <n v="5.8345000000000002"/>
    <n v="7.4"/>
  </r>
  <r>
    <s v="339-12-4827"/>
    <x v="2"/>
    <x v="2"/>
    <s v="Member"/>
    <x v="0"/>
    <x v="5"/>
    <n v="73.959999999999994"/>
    <n v="1"/>
    <n v="3.698"/>
    <n v="77.658000000000001"/>
    <x v="0"/>
    <d v="1899-12-30T11:32:00"/>
    <x v="2"/>
    <n v="73.959999999999994"/>
    <n v="4.7619047620000003"/>
    <n v="3.698"/>
    <n v="5"/>
  </r>
  <r>
    <s v="643-38-7867"/>
    <x v="0"/>
    <x v="0"/>
    <s v="Normal"/>
    <x v="1"/>
    <x v="2"/>
    <n v="97.94"/>
    <n v="1"/>
    <n v="4.8970000000000002"/>
    <n v="102.837"/>
    <x v="37"/>
    <d v="1899-12-30T11:44:00"/>
    <x v="0"/>
    <n v="97.94"/>
    <n v="4.7619047620000003"/>
    <n v="4.8970000000000002"/>
    <n v="6.9"/>
  </r>
  <r>
    <s v="308-81-0538"/>
    <x v="0"/>
    <x v="0"/>
    <s v="Normal"/>
    <x v="0"/>
    <x v="5"/>
    <n v="73.05"/>
    <n v="4"/>
    <n v="14.61"/>
    <n v="306.81"/>
    <x v="6"/>
    <d v="1899-12-30T17:16:00"/>
    <x v="2"/>
    <n v="292.2"/>
    <n v="4.7619047620000003"/>
    <n v="14.61"/>
    <n v="4.9000000000000004"/>
  </r>
  <r>
    <s v="358-88-9262"/>
    <x v="1"/>
    <x v="1"/>
    <s v="Member"/>
    <x v="0"/>
    <x v="4"/>
    <n v="87.48"/>
    <n v="6"/>
    <n v="26.244"/>
    <n v="551.12400000000002"/>
    <x v="60"/>
    <d v="1899-12-30T18:43:00"/>
    <x v="0"/>
    <n v="524.88"/>
    <n v="4.7619047620000003"/>
    <n v="26.244"/>
    <n v="5.0999999999999996"/>
  </r>
  <r>
    <s v="460-35-4390"/>
    <x v="0"/>
    <x v="0"/>
    <s v="Normal"/>
    <x v="1"/>
    <x v="2"/>
    <n v="30.68"/>
    <n v="3"/>
    <n v="4.6020000000000003"/>
    <n v="96.641999999999996"/>
    <x v="49"/>
    <d v="1899-12-30T11:00:00"/>
    <x v="0"/>
    <n v="92.04"/>
    <n v="4.7619047620000003"/>
    <n v="4.6020000000000003"/>
    <n v="9.1"/>
  </r>
  <r>
    <s v="343-87-0864"/>
    <x v="1"/>
    <x v="1"/>
    <s v="Member"/>
    <x v="1"/>
    <x v="0"/>
    <n v="75.88"/>
    <n v="1"/>
    <n v="3.794"/>
    <n v="79.674000000000007"/>
    <x v="75"/>
    <d v="1899-12-30T10:30:00"/>
    <x v="2"/>
    <n v="75.88"/>
    <n v="4.7619047620000003"/>
    <n v="3.794"/>
    <n v="7.1"/>
  </r>
  <r>
    <s v="173-50-1108"/>
    <x v="2"/>
    <x v="2"/>
    <s v="Member"/>
    <x v="0"/>
    <x v="3"/>
    <n v="20.18"/>
    <n v="4"/>
    <n v="4.0359999999999996"/>
    <n v="84.756"/>
    <x v="77"/>
    <d v="1899-12-30T12:14:00"/>
    <x v="2"/>
    <n v="80.72"/>
    <n v="4.7619047620000003"/>
    <n v="4.0359999999999996"/>
    <n v="5"/>
  </r>
  <r>
    <s v="243-47-2663"/>
    <x v="1"/>
    <x v="1"/>
    <s v="Member"/>
    <x v="1"/>
    <x v="1"/>
    <n v="18.77"/>
    <n v="6"/>
    <n v="5.6310000000000002"/>
    <n v="118.251"/>
    <x v="26"/>
    <d v="1899-12-30T16:43:00"/>
    <x v="2"/>
    <n v="112.62"/>
    <n v="4.7619047620000003"/>
    <n v="5.6310000000000002"/>
    <n v="5.5"/>
  </r>
  <r>
    <s v="841-18-8232"/>
    <x v="2"/>
    <x v="2"/>
    <s v="Normal"/>
    <x v="0"/>
    <x v="4"/>
    <n v="71.2"/>
    <n v="1"/>
    <n v="3.56"/>
    <n v="74.760000000000005"/>
    <x v="0"/>
    <d v="1899-12-30T20:40:00"/>
    <x v="2"/>
    <n v="71.2"/>
    <n v="4.7619047620000003"/>
    <n v="3.56"/>
    <n v="9.1999999999999993"/>
  </r>
  <r>
    <s v="701-23-5550"/>
    <x v="2"/>
    <x v="2"/>
    <s v="Member"/>
    <x v="1"/>
    <x v="2"/>
    <n v="38.81"/>
    <n v="4"/>
    <n v="7.7619999999999996"/>
    <n v="163.00200000000001"/>
    <x v="35"/>
    <d v="1899-12-30T13:40:00"/>
    <x v="0"/>
    <n v="155.24"/>
    <n v="4.7619047620000003"/>
    <n v="7.7619999999999996"/>
    <n v="4.9000000000000004"/>
  </r>
  <r>
    <s v="647-50-1224"/>
    <x v="0"/>
    <x v="0"/>
    <s v="Normal"/>
    <x v="0"/>
    <x v="5"/>
    <n v="29.42"/>
    <n v="10"/>
    <n v="14.71"/>
    <n v="308.91000000000003"/>
    <x v="52"/>
    <d v="1899-12-30T16:23:00"/>
    <x v="0"/>
    <n v="294.2"/>
    <n v="4.7619047620000003"/>
    <n v="14.71"/>
    <n v="8.9"/>
  </r>
  <r>
    <s v="541-48-8554"/>
    <x v="0"/>
    <x v="0"/>
    <s v="Normal"/>
    <x v="1"/>
    <x v="3"/>
    <n v="60.95"/>
    <n v="9"/>
    <n v="27.427499999999998"/>
    <n v="575.97749999999996"/>
    <x v="27"/>
    <d v="1899-12-30T12:08:00"/>
    <x v="2"/>
    <n v="548.54999999999995"/>
    <n v="4.7619047620000003"/>
    <n v="27.427499999999998"/>
    <n v="6"/>
  </r>
  <r>
    <s v="539-21-7227"/>
    <x v="2"/>
    <x v="2"/>
    <s v="Normal"/>
    <x v="0"/>
    <x v="3"/>
    <n v="51.54"/>
    <n v="5"/>
    <n v="12.885"/>
    <n v="270.58499999999998"/>
    <x v="53"/>
    <d v="1899-12-30T17:45:00"/>
    <x v="1"/>
    <n v="257.7"/>
    <n v="4.7619047620000003"/>
    <n v="12.885"/>
    <n v="4.2"/>
  </r>
  <r>
    <s v="213-32-1216"/>
    <x v="0"/>
    <x v="0"/>
    <s v="Normal"/>
    <x v="0"/>
    <x v="1"/>
    <n v="66.06"/>
    <n v="6"/>
    <n v="19.818000000000001"/>
    <n v="416.178"/>
    <x v="54"/>
    <d v="1899-12-30T10:28:00"/>
    <x v="1"/>
    <n v="396.36"/>
    <n v="4.7619047620000003"/>
    <n v="19.818000000000001"/>
    <n v="7.3"/>
  </r>
  <r>
    <s v="747-58-7183"/>
    <x v="2"/>
    <x v="2"/>
    <s v="Normal"/>
    <x v="1"/>
    <x v="5"/>
    <n v="57.27"/>
    <n v="3"/>
    <n v="8.5905000000000005"/>
    <n v="180.40049999999999"/>
    <x v="57"/>
    <d v="1899-12-30T20:31:00"/>
    <x v="0"/>
    <n v="171.81"/>
    <n v="4.7619047620000003"/>
    <n v="8.5905000000000005"/>
    <n v="6.5"/>
  </r>
  <r>
    <s v="582-52-8065"/>
    <x v="2"/>
    <x v="2"/>
    <s v="Normal"/>
    <x v="0"/>
    <x v="5"/>
    <n v="54.31"/>
    <n v="9"/>
    <n v="24.439499999999999"/>
    <n v="513.22950000000003"/>
    <x v="70"/>
    <d v="1899-12-30T10:49:00"/>
    <x v="1"/>
    <n v="488.79"/>
    <n v="4.7619047620000003"/>
    <n v="24.439499999999999"/>
    <n v="8.9"/>
  </r>
  <r>
    <s v="210-57-1719"/>
    <x v="2"/>
    <x v="2"/>
    <s v="Normal"/>
    <x v="0"/>
    <x v="0"/>
    <n v="58.24"/>
    <n v="9"/>
    <n v="26.207999999999998"/>
    <n v="550.36800000000005"/>
    <x v="63"/>
    <d v="1899-12-30T12:34:00"/>
    <x v="1"/>
    <n v="524.16"/>
    <n v="4.7619047620000003"/>
    <n v="26.207999999999998"/>
    <n v="9.6999999999999993"/>
  </r>
  <r>
    <s v="399-69-4630"/>
    <x v="1"/>
    <x v="1"/>
    <s v="Normal"/>
    <x v="1"/>
    <x v="1"/>
    <n v="22.21"/>
    <n v="6"/>
    <n v="6.6630000000000003"/>
    <n v="139.923"/>
    <x v="37"/>
    <d v="1899-12-30T10:23:00"/>
    <x v="2"/>
    <n v="133.26"/>
    <n v="4.7619047620000003"/>
    <n v="6.6630000000000003"/>
    <n v="8.6"/>
  </r>
  <r>
    <s v="134-75-2619"/>
    <x v="0"/>
    <x v="0"/>
    <s v="Member"/>
    <x v="1"/>
    <x v="1"/>
    <n v="19.32"/>
    <n v="7"/>
    <n v="6.7619999999999996"/>
    <n v="142.00200000000001"/>
    <x v="5"/>
    <d v="1899-12-30T18:51:00"/>
    <x v="1"/>
    <n v="135.24"/>
    <n v="4.7619047620000003"/>
    <n v="6.7619999999999996"/>
    <n v="6.9"/>
  </r>
  <r>
    <s v="356-44-8813"/>
    <x v="2"/>
    <x v="2"/>
    <s v="Normal"/>
    <x v="1"/>
    <x v="2"/>
    <n v="37.479999999999997"/>
    <n v="3"/>
    <n v="5.6219999999999999"/>
    <n v="118.062"/>
    <x v="40"/>
    <d v="1899-12-30T13:45:00"/>
    <x v="2"/>
    <n v="112.44"/>
    <n v="4.7619047620000003"/>
    <n v="5.6219999999999999"/>
    <n v="7.7"/>
  </r>
  <r>
    <s v="198-66-9832"/>
    <x v="2"/>
    <x v="2"/>
    <s v="Member"/>
    <x v="0"/>
    <x v="5"/>
    <n v="72.040000000000006"/>
    <n v="2"/>
    <n v="7.2039999999999997"/>
    <n v="151.28399999999999"/>
    <x v="87"/>
    <d v="1899-12-30T19:38:00"/>
    <x v="1"/>
    <n v="144.08000000000001"/>
    <n v="4.7619047620000003"/>
    <n v="7.2039999999999997"/>
    <n v="9.5"/>
  </r>
  <r>
    <s v="283-26-5248"/>
    <x v="1"/>
    <x v="1"/>
    <s v="Member"/>
    <x v="0"/>
    <x v="4"/>
    <n v="98.52"/>
    <n v="10"/>
    <n v="49.26"/>
    <n v="1034.46"/>
    <x v="74"/>
    <d v="1899-12-30T20:23:00"/>
    <x v="0"/>
    <n v="985.2"/>
    <n v="4.7619047620000003"/>
    <n v="49.26"/>
    <n v="4.5"/>
  </r>
  <r>
    <s v="712-39-0363"/>
    <x v="0"/>
    <x v="0"/>
    <s v="Member"/>
    <x v="1"/>
    <x v="4"/>
    <n v="41.66"/>
    <n v="6"/>
    <n v="12.497999999999999"/>
    <n v="262.45800000000003"/>
    <x v="56"/>
    <d v="1899-12-30T15:24:00"/>
    <x v="0"/>
    <n v="249.96"/>
    <n v="4.7619047620000003"/>
    <n v="12.497999999999999"/>
    <n v="5.6"/>
  </r>
  <r>
    <s v="218-59-9410"/>
    <x v="0"/>
    <x v="0"/>
    <s v="Member"/>
    <x v="0"/>
    <x v="2"/>
    <n v="72.42"/>
    <n v="3"/>
    <n v="10.863"/>
    <n v="228.12299999999999"/>
    <x v="14"/>
    <d v="1899-12-30T16:54:00"/>
    <x v="0"/>
    <n v="217.26"/>
    <n v="4.7619047620000003"/>
    <n v="10.863"/>
    <n v="8.1999999999999993"/>
  </r>
  <r>
    <s v="174-75-0888"/>
    <x v="2"/>
    <x v="2"/>
    <s v="Normal"/>
    <x v="1"/>
    <x v="1"/>
    <n v="21.58"/>
    <n v="9"/>
    <n v="9.7110000000000003"/>
    <n v="203.93100000000001"/>
    <x v="86"/>
    <d v="1899-12-30T12:32:00"/>
    <x v="1"/>
    <n v="194.22"/>
    <n v="4.7619047620000003"/>
    <n v="9.7110000000000003"/>
    <n v="7.3"/>
  </r>
  <r>
    <s v="866-99-7614"/>
    <x v="1"/>
    <x v="1"/>
    <s v="Normal"/>
    <x v="1"/>
    <x v="4"/>
    <n v="89.2"/>
    <n v="10"/>
    <n v="44.6"/>
    <n v="936.6"/>
    <x v="48"/>
    <d v="1899-12-30T15:42:00"/>
    <x v="2"/>
    <n v="892"/>
    <n v="4.7619047620000003"/>
    <n v="44.6"/>
    <n v="4.4000000000000004"/>
  </r>
  <r>
    <s v="134-54-4720"/>
    <x v="2"/>
    <x v="2"/>
    <s v="Normal"/>
    <x v="0"/>
    <x v="1"/>
    <n v="42.42"/>
    <n v="8"/>
    <n v="16.968"/>
    <n v="356.32799999999997"/>
    <x v="74"/>
    <d v="1899-12-30T13:58:00"/>
    <x v="0"/>
    <n v="339.36"/>
    <n v="4.7619047620000003"/>
    <n v="16.968"/>
    <n v="5.7"/>
  </r>
  <r>
    <s v="760-90-2357"/>
    <x v="0"/>
    <x v="0"/>
    <s v="Member"/>
    <x v="1"/>
    <x v="1"/>
    <n v="74.510000000000005"/>
    <n v="6"/>
    <n v="22.353000000000002"/>
    <n v="469.41300000000001"/>
    <x v="80"/>
    <d v="1899-12-30T15:08:00"/>
    <x v="0"/>
    <n v="447.06"/>
    <n v="4.7619047620000003"/>
    <n v="22.353000000000002"/>
    <n v="5"/>
  </r>
  <r>
    <s v="514-37-2845"/>
    <x v="2"/>
    <x v="2"/>
    <s v="Normal"/>
    <x v="1"/>
    <x v="5"/>
    <n v="99.25"/>
    <n v="2"/>
    <n v="9.9250000000000007"/>
    <n v="208.42500000000001"/>
    <x v="80"/>
    <d v="1899-12-30T13:02:00"/>
    <x v="1"/>
    <n v="198.5"/>
    <n v="4.7619047620000003"/>
    <n v="9.9250000000000007"/>
    <n v="9"/>
  </r>
  <r>
    <s v="698-98-5964"/>
    <x v="0"/>
    <x v="0"/>
    <s v="Normal"/>
    <x v="0"/>
    <x v="4"/>
    <n v="81.209999999999994"/>
    <n v="10"/>
    <n v="40.604999999999997"/>
    <n v="852.70500000000004"/>
    <x v="29"/>
    <d v="1899-12-30T13:01:00"/>
    <x v="2"/>
    <n v="812.1"/>
    <n v="4.7619047620000003"/>
    <n v="40.604999999999997"/>
    <n v="6.3"/>
  </r>
  <r>
    <s v="718-57-9773"/>
    <x v="1"/>
    <x v="1"/>
    <s v="Normal"/>
    <x v="0"/>
    <x v="3"/>
    <n v="49.33"/>
    <n v="10"/>
    <n v="24.664999999999999"/>
    <n v="517.96500000000003"/>
    <x v="36"/>
    <d v="1899-12-30T16:40:00"/>
    <x v="2"/>
    <n v="493.3"/>
    <n v="4.7619047620000003"/>
    <n v="24.664999999999999"/>
    <n v="9.4"/>
  </r>
  <r>
    <s v="651-88-7328"/>
    <x v="0"/>
    <x v="0"/>
    <s v="Normal"/>
    <x v="0"/>
    <x v="5"/>
    <n v="65.739999999999995"/>
    <n v="9"/>
    <n v="29.582999999999998"/>
    <n v="621.24300000000005"/>
    <x v="17"/>
    <d v="1899-12-30T13:55:00"/>
    <x v="1"/>
    <n v="591.66"/>
    <n v="4.7619047620000003"/>
    <n v="29.582999999999998"/>
    <n v="7.7"/>
  </r>
  <r>
    <s v="241-11-2261"/>
    <x v="2"/>
    <x v="2"/>
    <s v="Normal"/>
    <x v="0"/>
    <x v="5"/>
    <n v="79.86"/>
    <n v="7"/>
    <n v="27.951000000000001"/>
    <n v="586.971"/>
    <x v="8"/>
    <d v="1899-12-30T10:33:00"/>
    <x v="2"/>
    <n v="559.02"/>
    <n v="4.7619047620000003"/>
    <n v="27.951000000000001"/>
    <n v="5.5"/>
  </r>
  <r>
    <s v="408-26-9866"/>
    <x v="1"/>
    <x v="1"/>
    <s v="Normal"/>
    <x v="0"/>
    <x v="3"/>
    <n v="73.98"/>
    <n v="7"/>
    <n v="25.893000000000001"/>
    <n v="543.75300000000004"/>
    <x v="22"/>
    <d v="1899-12-30T16:42:00"/>
    <x v="0"/>
    <n v="517.86"/>
    <n v="4.7619047620000003"/>
    <n v="25.893000000000001"/>
    <n v="4.0999999999999996"/>
  </r>
  <r>
    <s v="834-83-1826"/>
    <x v="2"/>
    <x v="2"/>
    <s v="Member"/>
    <x v="0"/>
    <x v="2"/>
    <n v="82.04"/>
    <n v="5"/>
    <n v="20.51"/>
    <n v="430.71"/>
    <x v="6"/>
    <d v="1899-12-30T17:16:00"/>
    <x v="2"/>
    <n v="410.2"/>
    <n v="4.7619047620000003"/>
    <n v="20.51"/>
    <n v="7.6"/>
  </r>
  <r>
    <s v="343-61-3544"/>
    <x v="2"/>
    <x v="2"/>
    <s v="Member"/>
    <x v="1"/>
    <x v="3"/>
    <n v="26.67"/>
    <n v="10"/>
    <n v="13.335000000000001"/>
    <n v="280.03500000000003"/>
    <x v="71"/>
    <d v="1899-12-30T11:48:00"/>
    <x v="1"/>
    <n v="266.7"/>
    <n v="4.7619047620000003"/>
    <n v="13.335000000000001"/>
    <n v="8.6"/>
  </r>
  <r>
    <s v="239-48-4278"/>
    <x v="0"/>
    <x v="0"/>
    <s v="Member"/>
    <x v="1"/>
    <x v="4"/>
    <n v="10.130000000000001"/>
    <n v="7"/>
    <n v="3.5455000000000001"/>
    <n v="74.455500000000001"/>
    <x v="24"/>
    <d v="1899-12-30T19:35:00"/>
    <x v="0"/>
    <n v="70.91"/>
    <n v="4.7619047620000003"/>
    <n v="3.5455000000000001"/>
    <n v="8.3000000000000007"/>
  </r>
  <r>
    <s v="355-34-6244"/>
    <x v="2"/>
    <x v="2"/>
    <s v="Normal"/>
    <x v="1"/>
    <x v="4"/>
    <n v="72.39"/>
    <n v="2"/>
    <n v="7.2389999999999999"/>
    <n v="152.01900000000001"/>
    <x v="50"/>
    <d v="1899-12-30T19:55:00"/>
    <x v="2"/>
    <n v="144.78"/>
    <n v="4.7619047620000003"/>
    <n v="7.2389999999999999"/>
    <n v="8.1"/>
  </r>
  <r>
    <s v="550-84-8664"/>
    <x v="0"/>
    <x v="0"/>
    <s v="Normal"/>
    <x v="1"/>
    <x v="3"/>
    <n v="85.91"/>
    <n v="5"/>
    <n v="21.477499999999999"/>
    <n v="451.02749999999997"/>
    <x v="23"/>
    <d v="1899-12-30T14:33:00"/>
    <x v="2"/>
    <n v="429.55"/>
    <n v="4.7619047620000003"/>
    <n v="21.477499999999999"/>
    <n v="8.6"/>
  </r>
  <r>
    <s v="339-96-8318"/>
    <x v="2"/>
    <x v="2"/>
    <s v="Member"/>
    <x v="1"/>
    <x v="5"/>
    <n v="81.31"/>
    <n v="7"/>
    <n v="28.458500000000001"/>
    <n v="597.62850000000003"/>
    <x v="59"/>
    <d v="1899-12-30T19:49:00"/>
    <x v="0"/>
    <n v="569.16999999999996"/>
    <n v="4.7619047620000003"/>
    <n v="28.458500000000001"/>
    <n v="6.3"/>
  </r>
  <r>
    <s v="458-61-0011"/>
    <x v="2"/>
    <x v="2"/>
    <s v="Normal"/>
    <x v="1"/>
    <x v="4"/>
    <n v="60.3"/>
    <n v="4"/>
    <n v="12.06"/>
    <n v="253.26"/>
    <x v="9"/>
    <d v="1899-12-30T18:43:00"/>
    <x v="1"/>
    <n v="241.2"/>
    <n v="4.7619047620000003"/>
    <n v="12.06"/>
    <n v="5.8"/>
  </r>
  <r>
    <s v="592-34-6155"/>
    <x v="1"/>
    <x v="1"/>
    <s v="Normal"/>
    <x v="1"/>
    <x v="4"/>
    <n v="31.77"/>
    <n v="4"/>
    <n v="6.3540000000000001"/>
    <n v="133.434"/>
    <x v="78"/>
    <d v="1899-12-30T14:43:00"/>
    <x v="0"/>
    <n v="127.08"/>
    <n v="4.7619047620000003"/>
    <n v="6.3540000000000001"/>
    <n v="6.2"/>
  </r>
  <r>
    <s v="797-88-0493"/>
    <x v="0"/>
    <x v="0"/>
    <s v="Normal"/>
    <x v="0"/>
    <x v="0"/>
    <n v="64.27"/>
    <n v="4"/>
    <n v="12.853999999999999"/>
    <n v="269.93400000000003"/>
    <x v="58"/>
    <d v="1899-12-30T13:54:00"/>
    <x v="1"/>
    <n v="257.08"/>
    <n v="4.7619047620000003"/>
    <n v="12.853999999999999"/>
    <n v="7.7"/>
  </r>
  <r>
    <s v="207-73-1363"/>
    <x v="2"/>
    <x v="2"/>
    <s v="Normal"/>
    <x v="1"/>
    <x v="0"/>
    <n v="69.510000000000005"/>
    <n v="2"/>
    <n v="6.9509999999999996"/>
    <n v="145.971"/>
    <x v="59"/>
    <d v="1899-12-30T12:15:00"/>
    <x v="0"/>
    <n v="139.02000000000001"/>
    <n v="4.7619047620000003"/>
    <n v="6.9509999999999996"/>
    <n v="8.1"/>
  </r>
  <r>
    <s v="390-31-6381"/>
    <x v="1"/>
    <x v="1"/>
    <s v="Normal"/>
    <x v="1"/>
    <x v="4"/>
    <n v="27.22"/>
    <n v="3"/>
    <n v="4.0830000000000002"/>
    <n v="85.742999999999995"/>
    <x v="27"/>
    <d v="1899-12-30T12:37:00"/>
    <x v="1"/>
    <n v="81.66"/>
    <n v="4.7619047620000003"/>
    <n v="4.0830000000000002"/>
    <n v="7.3"/>
  </r>
  <r>
    <s v="443-82-0585"/>
    <x v="0"/>
    <x v="0"/>
    <s v="Member"/>
    <x v="0"/>
    <x v="0"/>
    <n v="77.680000000000007"/>
    <n v="4"/>
    <n v="15.536"/>
    <n v="326.25599999999997"/>
    <x v="60"/>
    <d v="1899-12-30T19:54:00"/>
    <x v="1"/>
    <n v="310.72000000000003"/>
    <n v="4.7619047620000003"/>
    <n v="15.536"/>
    <n v="8.4"/>
  </r>
  <r>
    <s v="339-18-7061"/>
    <x v="1"/>
    <x v="1"/>
    <s v="Member"/>
    <x v="0"/>
    <x v="5"/>
    <n v="92.98"/>
    <n v="2"/>
    <n v="9.298"/>
    <n v="195.25800000000001"/>
    <x v="77"/>
    <d v="1899-12-30T15:06:00"/>
    <x v="2"/>
    <n v="185.96"/>
    <n v="4.7619047620000003"/>
    <n v="9.298"/>
    <n v="8"/>
  </r>
  <r>
    <s v="359-90-3665"/>
    <x v="2"/>
    <x v="2"/>
    <s v="Member"/>
    <x v="0"/>
    <x v="5"/>
    <n v="18.079999999999998"/>
    <n v="4"/>
    <n v="3.6160000000000001"/>
    <n v="75.936000000000007"/>
    <x v="78"/>
    <d v="1899-12-30T18:03:00"/>
    <x v="2"/>
    <n v="72.319999999999993"/>
    <n v="4.7619047620000003"/>
    <n v="3.6160000000000001"/>
    <n v="9.5"/>
  </r>
  <r>
    <s v="375-72-3056"/>
    <x v="2"/>
    <x v="2"/>
    <s v="Normal"/>
    <x v="1"/>
    <x v="3"/>
    <n v="63.06"/>
    <n v="3"/>
    <n v="9.4589999999999996"/>
    <n v="198.63900000000001"/>
    <x v="64"/>
    <d v="1899-12-30T15:58:00"/>
    <x v="0"/>
    <n v="189.18"/>
    <n v="4.7619047620000003"/>
    <n v="9.4589999999999996"/>
    <n v="7"/>
  </r>
  <r>
    <s v="127-47-6963"/>
    <x v="0"/>
    <x v="0"/>
    <s v="Normal"/>
    <x v="1"/>
    <x v="0"/>
    <n v="51.71"/>
    <n v="4"/>
    <n v="10.342000000000001"/>
    <n v="217.18199999999999"/>
    <x v="11"/>
    <d v="1899-12-30T13:53:00"/>
    <x v="2"/>
    <n v="206.84"/>
    <n v="4.7619047620000003"/>
    <n v="10.342000000000001"/>
    <n v="9.8000000000000007"/>
  </r>
  <r>
    <s v="278-86-2735"/>
    <x v="0"/>
    <x v="0"/>
    <s v="Normal"/>
    <x v="0"/>
    <x v="4"/>
    <n v="52.34"/>
    <n v="3"/>
    <n v="7.851"/>
    <n v="164.87100000000001"/>
    <x v="39"/>
    <d v="1899-12-30T14:03:00"/>
    <x v="1"/>
    <n v="157.02000000000001"/>
    <n v="4.7619047620000003"/>
    <n v="7.851"/>
    <n v="9.1999999999999993"/>
  </r>
  <r>
    <s v="695-28-6250"/>
    <x v="0"/>
    <x v="0"/>
    <s v="Normal"/>
    <x v="0"/>
    <x v="3"/>
    <n v="43.06"/>
    <n v="5"/>
    <n v="10.765000000000001"/>
    <n v="226.065"/>
    <x v="87"/>
    <d v="1899-12-30T16:38:00"/>
    <x v="0"/>
    <n v="215.3"/>
    <n v="4.7619047620000003"/>
    <n v="10.765000000000001"/>
    <n v="7.7"/>
  </r>
  <r>
    <s v="379-17-6588"/>
    <x v="1"/>
    <x v="1"/>
    <s v="Normal"/>
    <x v="1"/>
    <x v="5"/>
    <n v="59.61"/>
    <n v="10"/>
    <n v="29.805"/>
    <n v="625.90499999999997"/>
    <x v="86"/>
    <d v="1899-12-30T11:07:00"/>
    <x v="1"/>
    <n v="596.1"/>
    <n v="4.7619047620000003"/>
    <n v="29.805"/>
    <n v="5.3"/>
  </r>
  <r>
    <s v="227-50-3718"/>
    <x v="0"/>
    <x v="0"/>
    <s v="Normal"/>
    <x v="1"/>
    <x v="0"/>
    <n v="14.62"/>
    <n v="5"/>
    <n v="3.6549999999999998"/>
    <n v="76.754999999999995"/>
    <x v="31"/>
    <d v="1899-12-30T12:23:00"/>
    <x v="1"/>
    <n v="73.099999999999994"/>
    <n v="4.7619047620000003"/>
    <n v="3.6549999999999998"/>
    <n v="4.4000000000000004"/>
  </r>
  <r>
    <s v="302-15-2162"/>
    <x v="1"/>
    <x v="1"/>
    <s v="Member"/>
    <x v="1"/>
    <x v="0"/>
    <n v="46.53"/>
    <n v="6"/>
    <n v="13.959"/>
    <n v="293.13900000000001"/>
    <x v="2"/>
    <d v="1899-12-30T10:54:00"/>
    <x v="2"/>
    <n v="279.18"/>
    <n v="4.7619047620000003"/>
    <n v="13.959"/>
    <n v="4.3"/>
  </r>
  <r>
    <s v="788-07-8452"/>
    <x v="1"/>
    <x v="1"/>
    <s v="Member"/>
    <x v="0"/>
    <x v="2"/>
    <n v="24.24"/>
    <n v="7"/>
    <n v="8.484"/>
    <n v="178.16399999999999"/>
    <x v="3"/>
    <d v="1899-12-30T17:38:00"/>
    <x v="0"/>
    <n v="169.68"/>
    <n v="4.7619047620000003"/>
    <n v="8.484"/>
    <n v="9.4"/>
  </r>
  <r>
    <s v="560-49-6611"/>
    <x v="0"/>
    <x v="0"/>
    <s v="Member"/>
    <x v="0"/>
    <x v="3"/>
    <n v="45.58"/>
    <n v="1"/>
    <n v="2.2789999999999999"/>
    <n v="47.859000000000002"/>
    <x v="13"/>
    <d v="1899-12-30T14:13:00"/>
    <x v="1"/>
    <n v="45.58"/>
    <n v="4.7619047620000003"/>
    <n v="2.2789999999999999"/>
    <n v="9.8000000000000007"/>
  </r>
  <r>
    <s v="880-35-0356"/>
    <x v="0"/>
    <x v="0"/>
    <s v="Member"/>
    <x v="0"/>
    <x v="3"/>
    <n v="75.2"/>
    <n v="3"/>
    <n v="11.28"/>
    <n v="236.88"/>
    <x v="63"/>
    <d v="1899-12-30T11:51:00"/>
    <x v="0"/>
    <n v="225.6"/>
    <n v="4.7619047620000003"/>
    <n v="11.28"/>
    <n v="4.8"/>
  </r>
  <r>
    <s v="585-11-6748"/>
    <x v="2"/>
    <x v="2"/>
    <s v="Member"/>
    <x v="1"/>
    <x v="3"/>
    <n v="96.8"/>
    <n v="3"/>
    <n v="14.52"/>
    <n v="304.92"/>
    <x v="20"/>
    <d v="1899-12-30T13:05:00"/>
    <x v="1"/>
    <n v="290.39999999999998"/>
    <n v="4.7619047620000003"/>
    <n v="14.52"/>
    <n v="5.3"/>
  </r>
  <r>
    <s v="470-31-3286"/>
    <x v="2"/>
    <x v="2"/>
    <s v="Normal"/>
    <x v="1"/>
    <x v="0"/>
    <n v="14.82"/>
    <n v="3"/>
    <n v="2.2229999999999999"/>
    <n v="46.683"/>
    <x v="59"/>
    <d v="1899-12-30T11:30:00"/>
    <x v="2"/>
    <n v="44.46"/>
    <n v="4.7619047620000003"/>
    <n v="2.2229999999999999"/>
    <n v="8.6999999999999993"/>
  </r>
  <r>
    <s v="152-68-2907"/>
    <x v="0"/>
    <x v="0"/>
    <s v="Normal"/>
    <x v="1"/>
    <x v="4"/>
    <n v="52.2"/>
    <n v="3"/>
    <n v="7.83"/>
    <n v="164.43"/>
    <x v="42"/>
    <d v="1899-12-30T13:30:00"/>
    <x v="2"/>
    <n v="156.6"/>
    <n v="4.7619047620000003"/>
    <n v="7.83"/>
    <n v="9.5"/>
  </r>
  <r>
    <s v="123-35-4896"/>
    <x v="1"/>
    <x v="1"/>
    <s v="Normal"/>
    <x v="0"/>
    <x v="3"/>
    <n v="46.66"/>
    <n v="9"/>
    <n v="20.997"/>
    <n v="440.93700000000001"/>
    <x v="21"/>
    <d v="1899-12-30T19:11:00"/>
    <x v="0"/>
    <n v="419.94"/>
    <n v="4.7619047620000003"/>
    <n v="20.997"/>
    <n v="5.3"/>
  </r>
  <r>
    <s v="258-69-7810"/>
    <x v="1"/>
    <x v="1"/>
    <s v="Normal"/>
    <x v="0"/>
    <x v="5"/>
    <n v="36.85"/>
    <n v="5"/>
    <n v="9.2125000000000004"/>
    <n v="193.46250000000001"/>
    <x v="53"/>
    <d v="1899-12-30T18:53:00"/>
    <x v="1"/>
    <n v="184.25"/>
    <n v="4.7619047620000003"/>
    <n v="9.2125000000000004"/>
    <n v="9.1999999999999993"/>
  </r>
  <r>
    <s v="334-64-2006"/>
    <x v="0"/>
    <x v="0"/>
    <s v="Member"/>
    <x v="0"/>
    <x v="2"/>
    <n v="70.319999999999993"/>
    <n v="2"/>
    <n v="7.032"/>
    <n v="147.672"/>
    <x v="62"/>
    <d v="1899-12-30T14:22:00"/>
    <x v="0"/>
    <n v="140.63999999999999"/>
    <n v="4.7619047620000003"/>
    <n v="7.032"/>
    <n v="9.6"/>
  </r>
  <r>
    <s v="219-61-4139"/>
    <x v="1"/>
    <x v="1"/>
    <s v="Normal"/>
    <x v="1"/>
    <x v="1"/>
    <n v="83.08"/>
    <n v="1"/>
    <n v="4.1539999999999999"/>
    <n v="87.233999999999995"/>
    <x v="54"/>
    <d v="1899-12-30T17:16:00"/>
    <x v="0"/>
    <n v="83.08"/>
    <n v="4.7619047620000003"/>
    <n v="4.1539999999999999"/>
    <n v="6.4"/>
  </r>
  <r>
    <s v="881-41-7302"/>
    <x v="1"/>
    <x v="1"/>
    <s v="Normal"/>
    <x v="0"/>
    <x v="5"/>
    <n v="64.989999999999995"/>
    <n v="1"/>
    <n v="3.2494999999999998"/>
    <n v="68.239500000000007"/>
    <x v="53"/>
    <d v="1899-12-30T10:06:00"/>
    <x v="2"/>
    <n v="64.989999999999995"/>
    <n v="4.7619047620000003"/>
    <n v="3.2494999999999998"/>
    <n v="4.5"/>
  </r>
  <r>
    <s v="373-09-4567"/>
    <x v="1"/>
    <x v="1"/>
    <s v="Normal"/>
    <x v="1"/>
    <x v="4"/>
    <n v="77.56"/>
    <n v="10"/>
    <n v="38.78"/>
    <n v="814.38"/>
    <x v="86"/>
    <d v="1899-12-30T20:35:00"/>
    <x v="0"/>
    <n v="775.6"/>
    <n v="4.7619047620000003"/>
    <n v="38.78"/>
    <n v="6.9"/>
  </r>
  <r>
    <s v="642-30-6693"/>
    <x v="2"/>
    <x v="2"/>
    <s v="Normal"/>
    <x v="0"/>
    <x v="3"/>
    <n v="54.51"/>
    <n v="6"/>
    <n v="16.353000000000002"/>
    <n v="343.41300000000001"/>
    <x v="85"/>
    <d v="1899-12-30T13:54:00"/>
    <x v="0"/>
    <n v="327.06"/>
    <n v="4.7619047620000003"/>
    <n v="16.353000000000002"/>
    <n v="7.8"/>
  </r>
  <r>
    <s v="484-22-8230"/>
    <x v="1"/>
    <x v="1"/>
    <s v="Member"/>
    <x v="0"/>
    <x v="5"/>
    <n v="51.89"/>
    <n v="7"/>
    <n v="18.1615"/>
    <n v="381.39150000000001"/>
    <x v="66"/>
    <d v="1899-12-30T20:08:00"/>
    <x v="1"/>
    <n v="363.23"/>
    <n v="4.7619047620000003"/>
    <n v="18.1615"/>
    <n v="4.5"/>
  </r>
  <r>
    <s v="830-58-2383"/>
    <x v="2"/>
    <x v="2"/>
    <s v="Normal"/>
    <x v="1"/>
    <x v="2"/>
    <n v="31.75"/>
    <n v="4"/>
    <n v="6.35"/>
    <n v="133.35"/>
    <x v="4"/>
    <d v="1899-12-30T15:26:00"/>
    <x v="1"/>
    <n v="127"/>
    <n v="4.7619047620000003"/>
    <n v="6.35"/>
    <n v="8.6"/>
  </r>
  <r>
    <s v="559-98-9873"/>
    <x v="0"/>
    <x v="0"/>
    <s v="Member"/>
    <x v="0"/>
    <x v="5"/>
    <n v="53.65"/>
    <n v="7"/>
    <n v="18.7775"/>
    <n v="394.32749999999999"/>
    <x v="34"/>
    <d v="1899-12-30T12:56:00"/>
    <x v="0"/>
    <n v="375.55"/>
    <n v="4.7619047620000003"/>
    <n v="18.7775"/>
    <n v="5.2"/>
  </r>
  <r>
    <s v="544-32-5024"/>
    <x v="1"/>
    <x v="1"/>
    <s v="Member"/>
    <x v="0"/>
    <x v="4"/>
    <n v="49.79"/>
    <n v="4"/>
    <n v="9.9580000000000002"/>
    <n v="209.11799999999999"/>
    <x v="61"/>
    <d v="1899-12-30T19:16:00"/>
    <x v="2"/>
    <n v="199.16"/>
    <n v="4.7619047620000003"/>
    <n v="9.9580000000000002"/>
    <n v="6.4"/>
  </r>
  <r>
    <s v="318-12-0304"/>
    <x v="0"/>
    <x v="0"/>
    <s v="Normal"/>
    <x v="1"/>
    <x v="5"/>
    <n v="30.61"/>
    <n v="1"/>
    <n v="1.5305"/>
    <n v="32.140500000000003"/>
    <x v="54"/>
    <d v="1899-12-30T12:20:00"/>
    <x v="0"/>
    <n v="30.61"/>
    <n v="4.7619047620000003"/>
    <n v="1.5305"/>
    <n v="5.2"/>
  </r>
  <r>
    <s v="349-97-8902"/>
    <x v="2"/>
    <x v="2"/>
    <s v="Member"/>
    <x v="1"/>
    <x v="4"/>
    <n v="57.89"/>
    <n v="2"/>
    <n v="5.7889999999999997"/>
    <n v="121.569"/>
    <x v="29"/>
    <d v="1899-12-30T10:37:00"/>
    <x v="0"/>
    <n v="115.78"/>
    <n v="4.7619047620000003"/>
    <n v="5.7889999999999997"/>
    <n v="8.9"/>
  </r>
  <r>
    <s v="421-95-9805"/>
    <x v="0"/>
    <x v="0"/>
    <s v="Normal"/>
    <x v="0"/>
    <x v="1"/>
    <n v="28.96"/>
    <n v="1"/>
    <n v="1.448"/>
    <n v="30.408000000000001"/>
    <x v="13"/>
    <d v="1899-12-30T10:18:00"/>
    <x v="2"/>
    <n v="28.96"/>
    <n v="4.7619047620000003"/>
    <n v="1.448"/>
    <n v="6.2"/>
  </r>
  <r>
    <s v="277-35-5865"/>
    <x v="1"/>
    <x v="1"/>
    <s v="Member"/>
    <x v="0"/>
    <x v="4"/>
    <n v="98.97"/>
    <n v="9"/>
    <n v="44.536499999999997"/>
    <n v="935.26649999999995"/>
    <x v="11"/>
    <d v="1899-12-30T11:23:00"/>
    <x v="1"/>
    <n v="890.73"/>
    <n v="4.7619047620000003"/>
    <n v="44.536499999999997"/>
    <n v="6.7"/>
  </r>
  <r>
    <s v="789-23-8625"/>
    <x v="2"/>
    <x v="2"/>
    <s v="Member"/>
    <x v="1"/>
    <x v="5"/>
    <n v="93.22"/>
    <n v="3"/>
    <n v="13.983000000000001"/>
    <n v="293.64299999999997"/>
    <x v="46"/>
    <d v="1899-12-30T11:45:00"/>
    <x v="1"/>
    <n v="279.66000000000003"/>
    <n v="4.7619047620000003"/>
    <n v="13.983000000000001"/>
    <n v="7.2"/>
  </r>
  <r>
    <s v="284-54-4231"/>
    <x v="1"/>
    <x v="1"/>
    <s v="Member"/>
    <x v="1"/>
    <x v="3"/>
    <n v="80.930000000000007"/>
    <n v="1"/>
    <n v="4.0465"/>
    <n v="84.976500000000001"/>
    <x v="64"/>
    <d v="1899-12-30T16:08:00"/>
    <x v="2"/>
    <n v="80.930000000000007"/>
    <n v="4.7619047620000003"/>
    <n v="4.0465"/>
    <n v="9"/>
  </r>
  <r>
    <s v="443-59-0061"/>
    <x v="0"/>
    <x v="0"/>
    <s v="Member"/>
    <x v="1"/>
    <x v="4"/>
    <n v="67.45"/>
    <n v="10"/>
    <n v="33.725000000000001"/>
    <n v="708.22500000000002"/>
    <x v="36"/>
    <d v="1899-12-30T11:25:00"/>
    <x v="0"/>
    <n v="674.5"/>
    <n v="4.7619047620000003"/>
    <n v="33.725000000000001"/>
    <n v="4.2"/>
  </r>
  <r>
    <s v="509-29-3912"/>
    <x v="0"/>
    <x v="0"/>
    <s v="Member"/>
    <x v="0"/>
    <x v="3"/>
    <n v="38.72"/>
    <n v="9"/>
    <n v="17.423999999999999"/>
    <n v="365.904"/>
    <x v="80"/>
    <d v="1899-12-30T12:24:00"/>
    <x v="0"/>
    <n v="348.48"/>
    <n v="4.7619047620000003"/>
    <n v="17.423999999999999"/>
    <n v="4.2"/>
  </r>
  <r>
    <s v="327-40-9673"/>
    <x v="2"/>
    <x v="2"/>
    <s v="Member"/>
    <x v="1"/>
    <x v="3"/>
    <n v="72.599999999999994"/>
    <n v="6"/>
    <n v="21.78"/>
    <n v="457.38"/>
    <x v="50"/>
    <d v="1899-12-30T19:51:00"/>
    <x v="1"/>
    <n v="435.6"/>
    <n v="4.7619047620000003"/>
    <n v="21.78"/>
    <n v="6.9"/>
  </r>
  <r>
    <s v="840-19-2096"/>
    <x v="1"/>
    <x v="1"/>
    <s v="Member"/>
    <x v="1"/>
    <x v="1"/>
    <n v="87.91"/>
    <n v="5"/>
    <n v="21.977499999999999"/>
    <n v="461.52749999999997"/>
    <x v="86"/>
    <d v="1899-12-30T18:10:00"/>
    <x v="0"/>
    <n v="439.55"/>
    <n v="4.7619047620000003"/>
    <n v="21.977499999999999"/>
    <n v="4.4000000000000004"/>
  </r>
  <r>
    <s v="828-46-6863"/>
    <x v="0"/>
    <x v="0"/>
    <s v="Member"/>
    <x v="1"/>
    <x v="4"/>
    <n v="98.53"/>
    <n v="6"/>
    <n v="29.559000000000001"/>
    <n v="620.73900000000003"/>
    <x v="54"/>
    <d v="1899-12-30T11:22:00"/>
    <x v="2"/>
    <n v="591.17999999999995"/>
    <n v="4.7619047620000003"/>
    <n v="29.559000000000001"/>
    <n v="4"/>
  </r>
  <r>
    <s v="641-96-3695"/>
    <x v="1"/>
    <x v="1"/>
    <s v="Member"/>
    <x v="0"/>
    <x v="5"/>
    <n v="43.46"/>
    <n v="6"/>
    <n v="13.038"/>
    <n v="273.798"/>
    <x v="13"/>
    <d v="1899-12-30T17:55:00"/>
    <x v="0"/>
    <n v="260.76"/>
    <n v="4.7619047620000003"/>
    <n v="13.038"/>
    <n v="8.5"/>
  </r>
  <r>
    <s v="420-97-3340"/>
    <x v="0"/>
    <x v="0"/>
    <s v="Normal"/>
    <x v="0"/>
    <x v="4"/>
    <n v="71.680000000000007"/>
    <n v="3"/>
    <n v="10.752000000000001"/>
    <n v="225.792"/>
    <x v="61"/>
    <d v="1899-12-30T15:30:00"/>
    <x v="2"/>
    <n v="215.04"/>
    <n v="4.7619047620000003"/>
    <n v="10.752000000000001"/>
    <n v="9.1999999999999993"/>
  </r>
  <r>
    <s v="436-54-4512"/>
    <x v="0"/>
    <x v="0"/>
    <s v="Member"/>
    <x v="0"/>
    <x v="4"/>
    <n v="91.61"/>
    <n v="1"/>
    <n v="4.5804999999999998"/>
    <n v="96.1905"/>
    <x v="80"/>
    <d v="1899-12-30T19:44:00"/>
    <x v="1"/>
    <n v="91.61"/>
    <n v="4.7619047620000003"/>
    <n v="4.5804999999999998"/>
    <n v="9.8000000000000007"/>
  </r>
  <r>
    <s v="670-79-6321"/>
    <x v="2"/>
    <x v="2"/>
    <s v="Member"/>
    <x v="0"/>
    <x v="2"/>
    <n v="94.59"/>
    <n v="7"/>
    <n v="33.106499999999997"/>
    <n v="695.23649999999998"/>
    <x v="29"/>
    <d v="1899-12-30T15:27:00"/>
    <x v="2"/>
    <n v="662.13"/>
    <n v="4.7619047620000003"/>
    <n v="33.106499999999997"/>
    <n v="4.9000000000000004"/>
  </r>
  <r>
    <s v="852-62-7105"/>
    <x v="2"/>
    <x v="2"/>
    <s v="Normal"/>
    <x v="0"/>
    <x v="5"/>
    <n v="83.25"/>
    <n v="10"/>
    <n v="41.625"/>
    <n v="874.125"/>
    <x v="52"/>
    <d v="1899-12-30T11:25:00"/>
    <x v="2"/>
    <n v="832.5"/>
    <n v="4.7619047620000003"/>
    <n v="41.625"/>
    <n v="4.4000000000000004"/>
  </r>
  <r>
    <s v="598-06-7312"/>
    <x v="2"/>
    <x v="2"/>
    <s v="Member"/>
    <x v="1"/>
    <x v="5"/>
    <n v="91.35"/>
    <n v="1"/>
    <n v="4.5674999999999999"/>
    <n v="95.917500000000004"/>
    <x v="69"/>
    <d v="1899-12-30T15:42:00"/>
    <x v="1"/>
    <n v="91.35"/>
    <n v="4.7619047620000003"/>
    <n v="4.5674999999999999"/>
    <n v="6.8"/>
  </r>
  <r>
    <s v="135-13-8269"/>
    <x v="2"/>
    <x v="2"/>
    <s v="Member"/>
    <x v="0"/>
    <x v="4"/>
    <n v="78.88"/>
    <n v="2"/>
    <n v="7.8879999999999999"/>
    <n v="165.648"/>
    <x v="53"/>
    <d v="1899-12-30T16:04:00"/>
    <x v="1"/>
    <n v="157.76"/>
    <n v="4.7619047620000003"/>
    <n v="7.8879999999999999"/>
    <n v="9.1"/>
  </r>
  <r>
    <s v="816-57-2053"/>
    <x v="0"/>
    <x v="0"/>
    <s v="Normal"/>
    <x v="1"/>
    <x v="3"/>
    <n v="60.87"/>
    <n v="2"/>
    <n v="6.0869999999999997"/>
    <n v="127.827"/>
    <x v="11"/>
    <d v="1899-12-30T12:37:00"/>
    <x v="0"/>
    <n v="121.74"/>
    <n v="4.7619047620000003"/>
    <n v="6.0869999999999997"/>
    <n v="8.6999999999999993"/>
  </r>
  <r>
    <s v="628-90-8624"/>
    <x v="2"/>
    <x v="2"/>
    <s v="Member"/>
    <x v="1"/>
    <x v="0"/>
    <n v="82.58"/>
    <n v="10"/>
    <n v="41.29"/>
    <n v="867.09"/>
    <x v="86"/>
    <d v="1899-12-30T14:41:00"/>
    <x v="1"/>
    <n v="825.8"/>
    <n v="4.7619047620000003"/>
    <n v="41.29"/>
    <n v="5"/>
  </r>
  <r>
    <s v="856-66-2701"/>
    <x v="0"/>
    <x v="0"/>
    <s v="Member"/>
    <x v="1"/>
    <x v="2"/>
    <n v="53.3"/>
    <n v="3"/>
    <n v="7.9950000000000001"/>
    <n v="167.89500000000001"/>
    <x v="25"/>
    <d v="1899-12-30T14:19:00"/>
    <x v="0"/>
    <n v="159.9"/>
    <n v="4.7619047620000003"/>
    <n v="7.9950000000000001"/>
    <n v="7.5"/>
  </r>
  <r>
    <s v="308-39-1707"/>
    <x v="0"/>
    <x v="0"/>
    <s v="Normal"/>
    <x v="0"/>
    <x v="5"/>
    <n v="12.09"/>
    <n v="1"/>
    <n v="0.60450000000000004"/>
    <n v="12.6945"/>
    <x v="53"/>
    <d v="1899-12-30T18:19:00"/>
    <x v="2"/>
    <n v="12.09"/>
    <n v="4.7619047620000003"/>
    <n v="0.60450000000000004"/>
    <n v="8.1999999999999993"/>
  </r>
  <r>
    <s v="149-61-1929"/>
    <x v="0"/>
    <x v="0"/>
    <s v="Normal"/>
    <x v="1"/>
    <x v="3"/>
    <n v="64.19"/>
    <n v="10"/>
    <n v="32.094999999999999"/>
    <n v="673.995"/>
    <x v="64"/>
    <d v="1899-12-30T14:08:00"/>
    <x v="2"/>
    <n v="641.9"/>
    <n v="4.7619047620000003"/>
    <n v="32.094999999999999"/>
    <n v="6.7"/>
  </r>
  <r>
    <s v="655-07-2265"/>
    <x v="0"/>
    <x v="0"/>
    <s v="Normal"/>
    <x v="1"/>
    <x v="1"/>
    <n v="78.31"/>
    <n v="3"/>
    <n v="11.746499999999999"/>
    <n v="246.6765"/>
    <x v="19"/>
    <d v="1899-12-30T16:38:00"/>
    <x v="0"/>
    <n v="234.93"/>
    <n v="4.7619047620000003"/>
    <n v="11.746499999999999"/>
    <n v="5.4"/>
  </r>
  <r>
    <s v="589-02-8023"/>
    <x v="0"/>
    <x v="0"/>
    <s v="Member"/>
    <x v="1"/>
    <x v="4"/>
    <n v="83.77"/>
    <n v="2"/>
    <n v="8.3770000000000007"/>
    <n v="175.917"/>
    <x v="15"/>
    <d v="1899-12-30T10:54:00"/>
    <x v="2"/>
    <n v="167.54"/>
    <n v="4.7619047620000003"/>
    <n v="8.3770000000000007"/>
    <n v="7"/>
  </r>
  <r>
    <s v="420-04-7590"/>
    <x v="2"/>
    <x v="2"/>
    <s v="Normal"/>
    <x v="1"/>
    <x v="2"/>
    <n v="99.7"/>
    <n v="3"/>
    <n v="14.955"/>
    <n v="314.05500000000001"/>
    <x v="79"/>
    <d v="1899-12-30T11:29:00"/>
    <x v="0"/>
    <n v="299.10000000000002"/>
    <n v="4.7619047620000003"/>
    <n v="14.955"/>
    <n v="4.7"/>
  </r>
  <r>
    <s v="182-88-2763"/>
    <x v="2"/>
    <x v="2"/>
    <s v="Member"/>
    <x v="1"/>
    <x v="4"/>
    <n v="79.91"/>
    <n v="3"/>
    <n v="11.986499999999999"/>
    <n v="251.7165"/>
    <x v="80"/>
    <d v="1899-12-30T19:28:00"/>
    <x v="2"/>
    <n v="239.73"/>
    <n v="4.7619047620000003"/>
    <n v="11.986499999999999"/>
    <n v="5"/>
  </r>
  <r>
    <s v="188-55-0967"/>
    <x v="2"/>
    <x v="2"/>
    <s v="Member"/>
    <x v="1"/>
    <x v="0"/>
    <n v="66.47"/>
    <n v="10"/>
    <n v="33.234999999999999"/>
    <n v="697.93499999999995"/>
    <x v="15"/>
    <d v="1899-12-30T15:01:00"/>
    <x v="2"/>
    <n v="664.7"/>
    <n v="4.7619047620000003"/>
    <n v="33.234999999999999"/>
    <n v="5"/>
  </r>
  <r>
    <s v="610-46-4100"/>
    <x v="0"/>
    <x v="0"/>
    <s v="Normal"/>
    <x v="1"/>
    <x v="0"/>
    <n v="28.95"/>
    <n v="7"/>
    <n v="10.1325"/>
    <n v="212.7825"/>
    <x v="2"/>
    <d v="1899-12-30T20:31:00"/>
    <x v="2"/>
    <n v="202.65"/>
    <n v="4.7619047620000003"/>
    <n v="10.1325"/>
    <n v="6"/>
  </r>
  <r>
    <s v="318-81-2368"/>
    <x v="1"/>
    <x v="1"/>
    <s v="Normal"/>
    <x v="0"/>
    <x v="1"/>
    <n v="46.2"/>
    <n v="1"/>
    <n v="2.31"/>
    <n v="48.51"/>
    <x v="35"/>
    <d v="1899-12-30T12:16:00"/>
    <x v="1"/>
    <n v="46.2"/>
    <n v="4.7619047620000003"/>
    <n v="2.31"/>
    <n v="6.3"/>
  </r>
  <r>
    <s v="364-33-8584"/>
    <x v="2"/>
    <x v="2"/>
    <s v="Member"/>
    <x v="0"/>
    <x v="4"/>
    <n v="17.63"/>
    <n v="5"/>
    <n v="4.4074999999999998"/>
    <n v="92.557500000000005"/>
    <x v="1"/>
    <d v="1899-12-30T15:27:00"/>
    <x v="1"/>
    <n v="88.15"/>
    <n v="4.7619047620000003"/>
    <n v="4.4074999999999998"/>
    <n v="8.5"/>
  </r>
  <r>
    <s v="665-63-9737"/>
    <x v="2"/>
    <x v="2"/>
    <s v="Normal"/>
    <x v="1"/>
    <x v="5"/>
    <n v="52.42"/>
    <n v="3"/>
    <n v="7.8630000000000004"/>
    <n v="165.12299999999999"/>
    <x v="33"/>
    <d v="1899-12-30T17:36:00"/>
    <x v="0"/>
    <n v="157.26"/>
    <n v="4.7619047620000003"/>
    <n v="7.8630000000000004"/>
    <n v="7.5"/>
  </r>
  <r>
    <s v="695-09-5146"/>
    <x v="2"/>
    <x v="2"/>
    <s v="Member"/>
    <x v="0"/>
    <x v="4"/>
    <n v="98.79"/>
    <n v="3"/>
    <n v="14.8185"/>
    <n v="311.18849999999998"/>
    <x v="55"/>
    <d v="1899-12-30T20:00:00"/>
    <x v="0"/>
    <n v="296.37"/>
    <n v="4.7619047620000003"/>
    <n v="14.8185"/>
    <n v="6.4"/>
  </r>
  <r>
    <s v="155-45-3814"/>
    <x v="1"/>
    <x v="1"/>
    <s v="Member"/>
    <x v="0"/>
    <x v="1"/>
    <n v="88.55"/>
    <n v="8"/>
    <n v="35.42"/>
    <n v="743.82"/>
    <x v="35"/>
    <d v="1899-12-30T15:29:00"/>
    <x v="0"/>
    <n v="708.4"/>
    <n v="4.7619047620000003"/>
    <n v="35.42"/>
    <n v="4.7"/>
  </r>
  <r>
    <s v="794-32-2436"/>
    <x v="2"/>
    <x v="2"/>
    <s v="Member"/>
    <x v="1"/>
    <x v="1"/>
    <n v="55.67"/>
    <n v="2"/>
    <n v="5.5670000000000002"/>
    <n v="116.907"/>
    <x v="39"/>
    <d v="1899-12-30T15:08:00"/>
    <x v="0"/>
    <n v="111.34"/>
    <n v="4.7619047620000003"/>
    <n v="5.5670000000000002"/>
    <n v="6"/>
  </r>
  <r>
    <s v="131-15-8856"/>
    <x v="1"/>
    <x v="1"/>
    <s v="Member"/>
    <x v="0"/>
    <x v="4"/>
    <n v="72.52"/>
    <n v="8"/>
    <n v="29.007999999999999"/>
    <n v="609.16800000000001"/>
    <x v="73"/>
    <d v="1899-12-30T19:26:00"/>
    <x v="2"/>
    <n v="580.16"/>
    <n v="4.7619047620000003"/>
    <n v="29.007999999999999"/>
    <n v="4"/>
  </r>
  <r>
    <s v="273-84-2164"/>
    <x v="1"/>
    <x v="1"/>
    <s v="Member"/>
    <x v="1"/>
    <x v="1"/>
    <n v="12.05"/>
    <n v="5"/>
    <n v="3.0125000000000002"/>
    <n v="63.262500000000003"/>
    <x v="69"/>
    <d v="1899-12-30T15:53:00"/>
    <x v="0"/>
    <n v="60.25"/>
    <n v="4.7619047620000003"/>
    <n v="3.0125000000000002"/>
    <n v="5.5"/>
  </r>
  <r>
    <s v="706-36-6154"/>
    <x v="0"/>
    <x v="0"/>
    <s v="Member"/>
    <x v="1"/>
    <x v="2"/>
    <n v="19.36"/>
    <n v="9"/>
    <n v="8.7119999999999997"/>
    <n v="182.952"/>
    <x v="68"/>
    <d v="1899-12-30T18:43:00"/>
    <x v="0"/>
    <n v="174.24"/>
    <n v="4.7619047620000003"/>
    <n v="8.7119999999999997"/>
    <n v="8.6999999999999993"/>
  </r>
  <r>
    <s v="778-89-7974"/>
    <x v="1"/>
    <x v="1"/>
    <s v="Normal"/>
    <x v="1"/>
    <x v="0"/>
    <n v="70.209999999999994"/>
    <n v="6"/>
    <n v="21.062999999999999"/>
    <n v="442.32299999999998"/>
    <x v="73"/>
    <d v="1899-12-30T14:58:00"/>
    <x v="1"/>
    <n v="421.26"/>
    <n v="4.7619047620000003"/>
    <n v="21.062999999999999"/>
    <n v="7.4"/>
  </r>
  <r>
    <s v="574-31-8277"/>
    <x v="2"/>
    <x v="2"/>
    <s v="Member"/>
    <x v="1"/>
    <x v="5"/>
    <n v="33.630000000000003"/>
    <n v="1"/>
    <n v="1.6815"/>
    <n v="35.311500000000002"/>
    <x v="80"/>
    <d v="1899-12-30T19:55:00"/>
    <x v="1"/>
    <n v="33.630000000000003"/>
    <n v="4.7619047620000003"/>
    <n v="1.6815"/>
    <n v="5.6"/>
  </r>
  <r>
    <s v="859-71-0933"/>
    <x v="1"/>
    <x v="1"/>
    <s v="Member"/>
    <x v="0"/>
    <x v="3"/>
    <n v="15.49"/>
    <n v="2"/>
    <n v="1.5489999999999999"/>
    <n v="32.529000000000003"/>
    <x v="65"/>
    <d v="1899-12-30T15:10:00"/>
    <x v="1"/>
    <n v="30.98"/>
    <n v="4.7619047620000003"/>
    <n v="1.5489999999999999"/>
    <n v="6.3"/>
  </r>
  <r>
    <s v="740-11-5257"/>
    <x v="1"/>
    <x v="1"/>
    <s v="Normal"/>
    <x v="1"/>
    <x v="1"/>
    <n v="24.74"/>
    <n v="10"/>
    <n v="12.37"/>
    <n v="259.77"/>
    <x v="7"/>
    <d v="1899-12-30T16:44:00"/>
    <x v="1"/>
    <n v="247.4"/>
    <n v="4.7619047620000003"/>
    <n v="12.37"/>
    <n v="7.1"/>
  </r>
  <r>
    <s v="369-82-2676"/>
    <x v="2"/>
    <x v="2"/>
    <s v="Normal"/>
    <x v="1"/>
    <x v="1"/>
    <n v="75.66"/>
    <n v="5"/>
    <n v="18.914999999999999"/>
    <n v="397.21499999999997"/>
    <x v="15"/>
    <d v="1899-12-30T18:22:00"/>
    <x v="0"/>
    <n v="378.3"/>
    <n v="4.7619047620000003"/>
    <n v="18.914999999999999"/>
    <n v="7.8"/>
  </r>
  <r>
    <s v="563-47-4072"/>
    <x v="2"/>
    <x v="2"/>
    <s v="Normal"/>
    <x v="0"/>
    <x v="0"/>
    <n v="55.81"/>
    <n v="6"/>
    <n v="16.742999999999999"/>
    <n v="351.60300000000001"/>
    <x v="49"/>
    <d v="1899-12-30T11:52:00"/>
    <x v="1"/>
    <n v="334.86"/>
    <n v="4.7619047620000003"/>
    <n v="16.742999999999999"/>
    <n v="9.9"/>
  </r>
  <r>
    <s v="742-04-5161"/>
    <x v="0"/>
    <x v="0"/>
    <s v="Member"/>
    <x v="1"/>
    <x v="2"/>
    <n v="72.78"/>
    <n v="10"/>
    <n v="36.39"/>
    <n v="764.19"/>
    <x v="36"/>
    <d v="1899-12-30T17:24:00"/>
    <x v="1"/>
    <n v="727.8"/>
    <n v="4.7619047620000003"/>
    <n v="36.39"/>
    <n v="7.3"/>
  </r>
  <r>
    <s v="149-15-7606"/>
    <x v="2"/>
    <x v="2"/>
    <s v="Member"/>
    <x v="1"/>
    <x v="3"/>
    <n v="37.32"/>
    <n v="9"/>
    <n v="16.794"/>
    <n v="352.67399999999998"/>
    <x v="43"/>
    <d v="1899-12-30T15:31:00"/>
    <x v="0"/>
    <n v="335.88"/>
    <n v="4.7619047620000003"/>
    <n v="16.794"/>
    <n v="5.0999999999999996"/>
  </r>
  <r>
    <s v="133-77-3154"/>
    <x v="2"/>
    <x v="2"/>
    <s v="Member"/>
    <x v="1"/>
    <x v="5"/>
    <n v="60.18"/>
    <n v="4"/>
    <n v="12.036"/>
    <n v="252.756"/>
    <x v="69"/>
    <d v="1899-12-30T18:04:00"/>
    <x v="2"/>
    <n v="240.72"/>
    <n v="4.7619047620000003"/>
    <n v="12.036"/>
    <n v="9.4"/>
  </r>
  <r>
    <s v="169-52-4504"/>
    <x v="0"/>
    <x v="0"/>
    <s v="Normal"/>
    <x v="0"/>
    <x v="1"/>
    <n v="15.69"/>
    <n v="3"/>
    <n v="2.3534999999999999"/>
    <n v="49.423499999999997"/>
    <x v="86"/>
    <d v="1899-12-30T14:13:00"/>
    <x v="2"/>
    <n v="47.07"/>
    <n v="4.7619047620000003"/>
    <n v="2.3534999999999999"/>
    <n v="5.8"/>
  </r>
  <r>
    <s v="250-81-7186"/>
    <x v="1"/>
    <x v="1"/>
    <s v="Normal"/>
    <x v="0"/>
    <x v="1"/>
    <n v="99.69"/>
    <n v="1"/>
    <n v="4.9844999999999997"/>
    <n v="104.67449999999999"/>
    <x v="33"/>
    <d v="1899-12-30T10:23:00"/>
    <x v="2"/>
    <n v="99.69"/>
    <n v="4.7619047620000003"/>
    <n v="4.9844999999999997"/>
    <n v="8"/>
  </r>
  <r>
    <s v="562-12-5430"/>
    <x v="0"/>
    <x v="0"/>
    <s v="Member"/>
    <x v="0"/>
    <x v="5"/>
    <n v="88.15"/>
    <n v="3"/>
    <n v="13.2225"/>
    <n v="277.67250000000001"/>
    <x v="68"/>
    <d v="1899-12-30T10:11:00"/>
    <x v="0"/>
    <n v="264.45"/>
    <n v="4.7619047620000003"/>
    <n v="13.2225"/>
    <n v="7.9"/>
  </r>
  <r>
    <s v="816-72-8853"/>
    <x v="0"/>
    <x v="0"/>
    <s v="Member"/>
    <x v="0"/>
    <x v="3"/>
    <n v="27.93"/>
    <n v="5"/>
    <n v="6.9824999999999999"/>
    <n v="146.63249999999999"/>
    <x v="71"/>
    <d v="1899-12-30T15:48:00"/>
    <x v="1"/>
    <n v="139.65"/>
    <n v="4.7619047620000003"/>
    <n v="6.9824999999999999"/>
    <n v="5.9"/>
  </r>
  <r>
    <s v="491-38-3499"/>
    <x v="0"/>
    <x v="0"/>
    <s v="Member"/>
    <x v="1"/>
    <x v="5"/>
    <n v="55.45"/>
    <n v="1"/>
    <n v="2.7725"/>
    <n v="58.222499999999997"/>
    <x v="84"/>
    <d v="1899-12-30T17:46:00"/>
    <x v="2"/>
    <n v="55.45"/>
    <n v="4.7619047620000003"/>
    <n v="2.7725"/>
    <n v="4.9000000000000004"/>
  </r>
  <r>
    <s v="322-02-2271"/>
    <x v="2"/>
    <x v="2"/>
    <s v="Normal"/>
    <x v="0"/>
    <x v="3"/>
    <n v="42.97"/>
    <n v="3"/>
    <n v="6.4455"/>
    <n v="135.35550000000001"/>
    <x v="36"/>
    <d v="1899-12-30T11:46:00"/>
    <x v="1"/>
    <n v="128.91"/>
    <n v="4.7619047620000003"/>
    <n v="6.4455"/>
    <n v="9.3000000000000007"/>
  </r>
  <r>
    <s v="842-29-4695"/>
    <x v="1"/>
    <x v="1"/>
    <s v="Member"/>
    <x v="1"/>
    <x v="3"/>
    <n v="17.14"/>
    <n v="7"/>
    <n v="5.9989999999999997"/>
    <n v="125.979"/>
    <x v="65"/>
    <d v="1899-12-30T12:07:00"/>
    <x v="2"/>
    <n v="119.98"/>
    <n v="4.7619047620000003"/>
    <n v="5.9989999999999997"/>
    <n v="7.9"/>
  </r>
  <r>
    <s v="725-67-2480"/>
    <x v="2"/>
    <x v="2"/>
    <s v="Member"/>
    <x v="0"/>
    <x v="5"/>
    <n v="58.75"/>
    <n v="6"/>
    <n v="17.625"/>
    <n v="370.125"/>
    <x v="62"/>
    <d v="1899-12-30T18:14:00"/>
    <x v="2"/>
    <n v="352.5"/>
    <n v="4.7619047620000003"/>
    <n v="17.625"/>
    <n v="5.9"/>
  </r>
  <r>
    <s v="641-51-2661"/>
    <x v="1"/>
    <x v="1"/>
    <s v="Member"/>
    <x v="0"/>
    <x v="4"/>
    <n v="87.1"/>
    <n v="10"/>
    <n v="43.55"/>
    <n v="914.55"/>
    <x v="12"/>
    <d v="1899-12-30T14:45:00"/>
    <x v="2"/>
    <n v="871"/>
    <n v="4.7619047620000003"/>
    <n v="43.55"/>
    <n v="9.9"/>
  </r>
  <r>
    <s v="714-02-3114"/>
    <x v="1"/>
    <x v="1"/>
    <s v="Normal"/>
    <x v="0"/>
    <x v="3"/>
    <n v="98.8"/>
    <n v="2"/>
    <n v="9.8800000000000008"/>
    <n v="207.48"/>
    <x v="81"/>
    <d v="1899-12-30T11:39:00"/>
    <x v="1"/>
    <n v="197.6"/>
    <n v="4.7619047620000003"/>
    <n v="9.8800000000000008"/>
    <n v="7.7"/>
  </r>
  <r>
    <s v="518-17-2983"/>
    <x v="0"/>
    <x v="0"/>
    <s v="Normal"/>
    <x v="0"/>
    <x v="5"/>
    <n v="48.63"/>
    <n v="4"/>
    <n v="9.7260000000000009"/>
    <n v="204.24600000000001"/>
    <x v="87"/>
    <d v="1899-12-30T15:44:00"/>
    <x v="0"/>
    <n v="194.52"/>
    <n v="4.7619047620000003"/>
    <n v="9.7260000000000009"/>
    <n v="7.6"/>
  </r>
  <r>
    <s v="779-42-2410"/>
    <x v="2"/>
    <x v="2"/>
    <s v="Member"/>
    <x v="1"/>
    <x v="4"/>
    <n v="57.74"/>
    <n v="3"/>
    <n v="8.6609999999999996"/>
    <n v="181.881"/>
    <x v="9"/>
    <d v="1899-12-30T13:06:00"/>
    <x v="0"/>
    <n v="173.22"/>
    <n v="4.7619047620000003"/>
    <n v="8.6609999999999996"/>
    <n v="7.7"/>
  </r>
  <r>
    <s v="190-14-3147"/>
    <x v="2"/>
    <x v="2"/>
    <s v="Normal"/>
    <x v="0"/>
    <x v="0"/>
    <n v="17.97"/>
    <n v="4"/>
    <n v="3.5939999999999999"/>
    <n v="75.474000000000004"/>
    <x v="55"/>
    <d v="1899-12-30T20:43:00"/>
    <x v="0"/>
    <n v="71.88"/>
    <n v="4.7619047620000003"/>
    <n v="3.5939999999999999"/>
    <n v="6.4"/>
  </r>
  <r>
    <s v="408-66-6712"/>
    <x v="1"/>
    <x v="1"/>
    <s v="Member"/>
    <x v="0"/>
    <x v="0"/>
    <n v="47.71"/>
    <n v="6"/>
    <n v="14.313000000000001"/>
    <n v="300.57299999999998"/>
    <x v="69"/>
    <d v="1899-12-30T14:19:00"/>
    <x v="0"/>
    <n v="286.26"/>
    <n v="4.7619047620000003"/>
    <n v="14.313000000000001"/>
    <n v="4.4000000000000004"/>
  </r>
  <r>
    <s v="679-22-6530"/>
    <x v="2"/>
    <x v="2"/>
    <s v="Normal"/>
    <x v="0"/>
    <x v="3"/>
    <n v="40.619999999999997"/>
    <n v="2"/>
    <n v="4.0620000000000003"/>
    <n v="85.302000000000007"/>
    <x v="29"/>
    <d v="1899-12-30T10:01:00"/>
    <x v="2"/>
    <n v="81.239999999999995"/>
    <n v="4.7619047620000003"/>
    <n v="4.0620000000000003"/>
    <n v="4.0999999999999996"/>
  </r>
  <r>
    <s v="588-47-8641"/>
    <x v="0"/>
    <x v="0"/>
    <s v="Member"/>
    <x v="1"/>
    <x v="5"/>
    <n v="56.04"/>
    <n v="10"/>
    <n v="28.02"/>
    <n v="588.41999999999996"/>
    <x v="78"/>
    <d v="1899-12-30T19:30:00"/>
    <x v="0"/>
    <n v="560.4"/>
    <n v="4.7619047620000003"/>
    <n v="28.02"/>
    <n v="4.4000000000000004"/>
  </r>
  <r>
    <s v="642-61-4706"/>
    <x v="2"/>
    <x v="2"/>
    <s v="Member"/>
    <x v="1"/>
    <x v="4"/>
    <n v="93.4"/>
    <n v="2"/>
    <n v="9.34"/>
    <n v="196.14"/>
    <x v="73"/>
    <d v="1899-12-30T16:34:00"/>
    <x v="1"/>
    <n v="186.8"/>
    <n v="4.7619047620000003"/>
    <n v="9.34"/>
    <n v="5.5"/>
  </r>
  <r>
    <s v="576-31-4774"/>
    <x v="2"/>
    <x v="2"/>
    <s v="Normal"/>
    <x v="0"/>
    <x v="0"/>
    <n v="73.41"/>
    <n v="3"/>
    <n v="11.0115"/>
    <n v="231.2415"/>
    <x v="22"/>
    <d v="1899-12-30T13:10:00"/>
    <x v="0"/>
    <n v="220.23"/>
    <n v="4.7619047620000003"/>
    <n v="11.0115"/>
    <n v="4"/>
  </r>
  <r>
    <s v="556-41-6224"/>
    <x v="1"/>
    <x v="1"/>
    <s v="Normal"/>
    <x v="1"/>
    <x v="0"/>
    <n v="33.64"/>
    <n v="8"/>
    <n v="13.456"/>
    <n v="282.57600000000002"/>
    <x v="42"/>
    <d v="1899-12-30T17:10:00"/>
    <x v="2"/>
    <n v="269.12"/>
    <n v="4.7619047620000003"/>
    <n v="13.456"/>
    <n v="9.3000000000000007"/>
  </r>
  <r>
    <s v="811-03-8790"/>
    <x v="0"/>
    <x v="0"/>
    <s v="Normal"/>
    <x v="0"/>
    <x v="1"/>
    <n v="45.48"/>
    <n v="10"/>
    <n v="22.74"/>
    <n v="477.54"/>
    <x v="59"/>
    <d v="1899-12-30T10:22:00"/>
    <x v="2"/>
    <n v="454.8"/>
    <n v="4.7619047620000003"/>
    <n v="22.74"/>
    <n v="4.8"/>
  </r>
  <r>
    <s v="242-11-3142"/>
    <x v="2"/>
    <x v="2"/>
    <s v="Member"/>
    <x v="1"/>
    <x v="5"/>
    <n v="83.77"/>
    <n v="2"/>
    <n v="8.3770000000000007"/>
    <n v="175.917"/>
    <x v="7"/>
    <d v="1899-12-30T19:57:00"/>
    <x v="1"/>
    <n v="167.54"/>
    <n v="4.7619047620000003"/>
    <n v="8.3770000000000007"/>
    <n v="4.5999999999999996"/>
  </r>
  <r>
    <s v="752-23-3760"/>
    <x v="2"/>
    <x v="2"/>
    <s v="Member"/>
    <x v="0"/>
    <x v="3"/>
    <n v="64.08"/>
    <n v="7"/>
    <n v="22.428000000000001"/>
    <n v="470.988"/>
    <x v="88"/>
    <d v="1899-12-30T19:29:00"/>
    <x v="2"/>
    <n v="448.56"/>
    <n v="4.7619047620000003"/>
    <n v="22.428000000000001"/>
    <n v="7.3"/>
  </r>
  <r>
    <s v="274-05-5470"/>
    <x v="0"/>
    <x v="0"/>
    <s v="Member"/>
    <x v="0"/>
    <x v="4"/>
    <n v="73.47"/>
    <n v="4"/>
    <n v="14.694000000000001"/>
    <n v="308.57400000000001"/>
    <x v="55"/>
    <d v="1899-12-30T18:30:00"/>
    <x v="1"/>
    <n v="293.88"/>
    <n v="4.7619047620000003"/>
    <n v="14.694000000000001"/>
    <n v="6"/>
  </r>
  <r>
    <s v="648-94-3045"/>
    <x v="1"/>
    <x v="1"/>
    <s v="Normal"/>
    <x v="1"/>
    <x v="0"/>
    <n v="58.95"/>
    <n v="10"/>
    <n v="29.475000000000001"/>
    <n v="618.97500000000002"/>
    <x v="13"/>
    <d v="1899-12-30T14:27:00"/>
    <x v="0"/>
    <n v="589.5"/>
    <n v="4.7619047620000003"/>
    <n v="29.475000000000001"/>
    <n v="8.1"/>
  </r>
  <r>
    <s v="130-67-4723"/>
    <x v="0"/>
    <x v="0"/>
    <s v="Member"/>
    <x v="1"/>
    <x v="4"/>
    <n v="48.5"/>
    <n v="6"/>
    <n v="14.55"/>
    <n v="305.55"/>
    <x v="83"/>
    <d v="1899-12-30T13:57:00"/>
    <x v="0"/>
    <n v="291"/>
    <n v="4.7619047620000003"/>
    <n v="14.55"/>
    <n v="9.4"/>
  </r>
  <r>
    <s v="528-87-5606"/>
    <x v="2"/>
    <x v="2"/>
    <s v="Member"/>
    <x v="0"/>
    <x v="1"/>
    <n v="39.479999999999997"/>
    <n v="1"/>
    <n v="1.974"/>
    <n v="41.454000000000001"/>
    <x v="12"/>
    <d v="1899-12-30T19:43:00"/>
    <x v="1"/>
    <n v="39.479999999999997"/>
    <n v="4.7619047620000003"/>
    <n v="1.974"/>
    <n v="6.5"/>
  </r>
  <r>
    <s v="320-85-2052"/>
    <x v="2"/>
    <x v="2"/>
    <s v="Normal"/>
    <x v="0"/>
    <x v="3"/>
    <n v="34.81"/>
    <n v="1"/>
    <n v="1.7404999999999999"/>
    <n v="36.5505"/>
    <x v="78"/>
    <d v="1899-12-30T10:11:00"/>
    <x v="2"/>
    <n v="34.81"/>
    <n v="4.7619047620000003"/>
    <n v="1.7404999999999999"/>
    <n v="7"/>
  </r>
  <r>
    <s v="370-96-0655"/>
    <x v="1"/>
    <x v="1"/>
    <s v="Normal"/>
    <x v="0"/>
    <x v="5"/>
    <n v="49.32"/>
    <n v="6"/>
    <n v="14.795999999999999"/>
    <n v="310.71600000000001"/>
    <x v="51"/>
    <d v="1899-12-30T13:46:00"/>
    <x v="0"/>
    <n v="295.92"/>
    <n v="4.7619047620000003"/>
    <n v="14.795999999999999"/>
    <n v="7.1"/>
  </r>
  <r>
    <s v="105-10-6182"/>
    <x v="0"/>
    <x v="0"/>
    <s v="Member"/>
    <x v="1"/>
    <x v="5"/>
    <n v="21.48"/>
    <n v="2"/>
    <n v="2.1480000000000001"/>
    <n v="45.107999999999997"/>
    <x v="33"/>
    <d v="1899-12-30T12:22:00"/>
    <x v="0"/>
    <n v="42.96"/>
    <n v="4.7619047620000003"/>
    <n v="2.1480000000000001"/>
    <n v="6.6"/>
  </r>
  <r>
    <s v="510-79-0415"/>
    <x v="2"/>
    <x v="2"/>
    <s v="Member"/>
    <x v="0"/>
    <x v="3"/>
    <n v="23.08"/>
    <n v="6"/>
    <n v="6.9240000000000004"/>
    <n v="145.404"/>
    <x v="46"/>
    <d v="1899-12-30T19:20:00"/>
    <x v="0"/>
    <n v="138.47999999999999"/>
    <n v="4.7619047620000003"/>
    <n v="6.9240000000000004"/>
    <n v="4.9000000000000004"/>
  </r>
  <r>
    <s v="241-96-5076"/>
    <x v="2"/>
    <x v="2"/>
    <s v="Member"/>
    <x v="0"/>
    <x v="2"/>
    <n v="49.1"/>
    <n v="2"/>
    <n v="4.91"/>
    <n v="103.11"/>
    <x v="66"/>
    <d v="1899-12-30T12:58:00"/>
    <x v="2"/>
    <n v="98.2"/>
    <n v="4.7619047620000003"/>
    <n v="4.91"/>
    <n v="6.4"/>
  </r>
  <r>
    <s v="767-97-4650"/>
    <x v="2"/>
    <x v="2"/>
    <s v="Member"/>
    <x v="0"/>
    <x v="3"/>
    <n v="64.83"/>
    <n v="2"/>
    <n v="6.4829999999999997"/>
    <n v="136.143"/>
    <x v="66"/>
    <d v="1899-12-30T11:59:00"/>
    <x v="2"/>
    <n v="129.66"/>
    <n v="4.7619047620000003"/>
    <n v="6.4829999999999997"/>
    <n v="8"/>
  </r>
  <r>
    <s v="648-83-1321"/>
    <x v="0"/>
    <x v="0"/>
    <s v="Member"/>
    <x v="1"/>
    <x v="2"/>
    <n v="63.56"/>
    <n v="10"/>
    <n v="31.78"/>
    <n v="667.38"/>
    <x v="65"/>
    <d v="1899-12-30T17:59:00"/>
    <x v="1"/>
    <n v="635.6"/>
    <n v="4.7619047620000003"/>
    <n v="31.78"/>
    <n v="4.3"/>
  </r>
  <r>
    <s v="173-57-2300"/>
    <x v="1"/>
    <x v="1"/>
    <s v="Member"/>
    <x v="1"/>
    <x v="3"/>
    <n v="72.88"/>
    <n v="2"/>
    <n v="7.2880000000000003"/>
    <n v="153.048"/>
    <x v="45"/>
    <d v="1899-12-30T12:51:00"/>
    <x v="1"/>
    <n v="145.76"/>
    <n v="4.7619047620000003"/>
    <n v="7.2880000000000003"/>
    <n v="6.1"/>
  </r>
  <r>
    <s v="305-03-2383"/>
    <x v="0"/>
    <x v="0"/>
    <s v="Normal"/>
    <x v="0"/>
    <x v="4"/>
    <n v="67.099999999999994"/>
    <n v="3"/>
    <n v="10.065"/>
    <n v="211.36500000000001"/>
    <x v="42"/>
    <d v="1899-12-30T10:36:00"/>
    <x v="1"/>
    <n v="201.3"/>
    <n v="4.7619047620000003"/>
    <n v="10.065"/>
    <n v="7.5"/>
  </r>
  <r>
    <s v="394-55-6384"/>
    <x v="1"/>
    <x v="1"/>
    <s v="Member"/>
    <x v="0"/>
    <x v="3"/>
    <n v="70.19"/>
    <n v="9"/>
    <n v="31.5855"/>
    <n v="663.29549999999995"/>
    <x v="25"/>
    <d v="1899-12-30T13:38:00"/>
    <x v="1"/>
    <n v="631.71"/>
    <n v="4.7619047620000003"/>
    <n v="31.5855"/>
    <n v="6.7"/>
  </r>
  <r>
    <s v="266-20-6657"/>
    <x v="1"/>
    <x v="1"/>
    <s v="Member"/>
    <x v="1"/>
    <x v="4"/>
    <n v="55.04"/>
    <n v="7"/>
    <n v="19.263999999999999"/>
    <n v="404.54399999999998"/>
    <x v="41"/>
    <d v="1899-12-30T19:39:00"/>
    <x v="0"/>
    <n v="385.28"/>
    <n v="4.7619047620000003"/>
    <n v="19.263999999999999"/>
    <n v="5.2"/>
  </r>
  <r>
    <s v="689-05-1884"/>
    <x v="0"/>
    <x v="0"/>
    <s v="Member"/>
    <x v="1"/>
    <x v="0"/>
    <n v="48.63"/>
    <n v="10"/>
    <n v="24.315000000000001"/>
    <n v="510.61500000000001"/>
    <x v="31"/>
    <d v="1899-12-30T12:44:00"/>
    <x v="1"/>
    <n v="486.3"/>
    <n v="4.7619047620000003"/>
    <n v="24.315000000000001"/>
    <n v="8.8000000000000007"/>
  </r>
  <r>
    <s v="196-01-2849"/>
    <x v="1"/>
    <x v="1"/>
    <s v="Member"/>
    <x v="0"/>
    <x v="5"/>
    <n v="73.38"/>
    <n v="7"/>
    <n v="25.683"/>
    <n v="539.34299999999996"/>
    <x v="34"/>
    <d v="1899-12-30T13:56:00"/>
    <x v="1"/>
    <n v="513.66"/>
    <n v="4.7619047620000003"/>
    <n v="25.683"/>
    <n v="9.5"/>
  </r>
  <r>
    <s v="372-62-5264"/>
    <x v="1"/>
    <x v="1"/>
    <s v="Normal"/>
    <x v="0"/>
    <x v="4"/>
    <n v="52.6"/>
    <n v="9"/>
    <n v="23.67"/>
    <n v="497.07"/>
    <x v="65"/>
    <d v="1899-12-30T14:42:00"/>
    <x v="1"/>
    <n v="473.4"/>
    <n v="4.7619047620000003"/>
    <n v="23.67"/>
    <n v="7.6"/>
  </r>
  <r>
    <s v="800-09-8606"/>
    <x v="0"/>
    <x v="0"/>
    <s v="Member"/>
    <x v="0"/>
    <x v="2"/>
    <n v="87.37"/>
    <n v="5"/>
    <n v="21.842500000000001"/>
    <n v="458.6925"/>
    <x v="71"/>
    <d v="1899-12-30T19:45:00"/>
    <x v="1"/>
    <n v="436.85"/>
    <n v="4.7619047620000003"/>
    <n v="21.842500000000001"/>
    <n v="6.6"/>
  </r>
  <r>
    <s v="182-52-7000"/>
    <x v="0"/>
    <x v="0"/>
    <s v="Member"/>
    <x v="0"/>
    <x v="3"/>
    <n v="27.04"/>
    <n v="4"/>
    <n v="5.4080000000000004"/>
    <n v="113.568"/>
    <x v="17"/>
    <d v="1899-12-30T20:26:00"/>
    <x v="0"/>
    <n v="108.16"/>
    <n v="4.7619047620000003"/>
    <n v="5.4080000000000004"/>
    <n v="6.9"/>
  </r>
  <r>
    <s v="826-58-8051"/>
    <x v="2"/>
    <x v="2"/>
    <s v="Normal"/>
    <x v="1"/>
    <x v="2"/>
    <n v="62.19"/>
    <n v="4"/>
    <n v="12.438000000000001"/>
    <n v="261.19799999999998"/>
    <x v="47"/>
    <d v="1899-12-30T19:46:00"/>
    <x v="0"/>
    <n v="248.76"/>
    <n v="4.7619047620000003"/>
    <n v="12.438000000000001"/>
    <n v="4.3"/>
  </r>
  <r>
    <s v="868-06-0466"/>
    <x v="0"/>
    <x v="0"/>
    <s v="Member"/>
    <x v="1"/>
    <x v="1"/>
    <n v="69.58"/>
    <n v="9"/>
    <n v="31.311"/>
    <n v="657.53099999999995"/>
    <x v="88"/>
    <d v="1899-12-30T19:38:00"/>
    <x v="2"/>
    <n v="626.22"/>
    <n v="4.7619047620000003"/>
    <n v="31.311"/>
    <n v="7.8"/>
  </r>
  <r>
    <s v="751-41-9720"/>
    <x v="1"/>
    <x v="1"/>
    <s v="Normal"/>
    <x v="1"/>
    <x v="2"/>
    <n v="97.5"/>
    <n v="10"/>
    <n v="48.75"/>
    <n v="1023.75"/>
    <x v="52"/>
    <d v="1899-12-30T16:18:00"/>
    <x v="0"/>
    <n v="975"/>
    <n v="4.7619047620000003"/>
    <n v="48.75"/>
    <n v="8"/>
  </r>
  <r>
    <s v="626-43-7888"/>
    <x v="1"/>
    <x v="1"/>
    <s v="Normal"/>
    <x v="0"/>
    <x v="5"/>
    <n v="60.41"/>
    <n v="8"/>
    <n v="24.164000000000001"/>
    <n v="507.44400000000002"/>
    <x v="13"/>
    <d v="1899-12-30T12:23:00"/>
    <x v="0"/>
    <n v="483.28"/>
    <n v="4.7619047620000003"/>
    <n v="24.164000000000001"/>
    <n v="9.6"/>
  </r>
  <r>
    <s v="176-64-7711"/>
    <x v="2"/>
    <x v="2"/>
    <s v="Normal"/>
    <x v="1"/>
    <x v="4"/>
    <n v="32.32"/>
    <n v="3"/>
    <n v="4.8479999999999999"/>
    <n v="101.80800000000001"/>
    <x v="39"/>
    <d v="1899-12-30T19:11:00"/>
    <x v="2"/>
    <n v="96.96"/>
    <n v="4.7619047620000003"/>
    <n v="4.8479999999999999"/>
    <n v="4.3"/>
  </r>
  <r>
    <s v="191-29-0321"/>
    <x v="2"/>
    <x v="2"/>
    <s v="Member"/>
    <x v="0"/>
    <x v="5"/>
    <n v="19.77"/>
    <n v="10"/>
    <n v="9.8849999999999998"/>
    <n v="207.58500000000001"/>
    <x v="33"/>
    <d v="1899-12-30T18:57:00"/>
    <x v="2"/>
    <n v="197.7"/>
    <n v="4.7619047620000003"/>
    <n v="9.8849999999999998"/>
    <n v="5"/>
  </r>
  <r>
    <s v="729-06-2010"/>
    <x v="2"/>
    <x v="2"/>
    <s v="Member"/>
    <x v="1"/>
    <x v="0"/>
    <n v="80.47"/>
    <n v="9"/>
    <n v="36.211500000000001"/>
    <n v="760.44150000000002"/>
    <x v="47"/>
    <d v="1899-12-30T11:18:00"/>
    <x v="1"/>
    <n v="724.23"/>
    <n v="4.7619047620000003"/>
    <n v="36.211500000000001"/>
    <n v="9.1999999999999993"/>
  </r>
  <r>
    <s v="640-48-5028"/>
    <x v="2"/>
    <x v="2"/>
    <s v="Member"/>
    <x v="0"/>
    <x v="2"/>
    <n v="88.39"/>
    <n v="9"/>
    <n v="39.775500000000001"/>
    <n v="835.28549999999996"/>
    <x v="22"/>
    <d v="1899-12-30T12:40:00"/>
    <x v="1"/>
    <n v="795.51"/>
    <n v="4.7619047620000003"/>
    <n v="39.775500000000001"/>
    <n v="6.3"/>
  </r>
  <r>
    <s v="186-79-9562"/>
    <x v="2"/>
    <x v="2"/>
    <s v="Normal"/>
    <x v="1"/>
    <x v="0"/>
    <n v="71.77"/>
    <n v="7"/>
    <n v="25.119499999999999"/>
    <n v="527.5095"/>
    <x v="14"/>
    <d v="1899-12-30T14:06:00"/>
    <x v="1"/>
    <n v="502.39"/>
    <n v="4.7619047620000003"/>
    <n v="25.119499999999999"/>
    <n v="8.9"/>
  </r>
  <r>
    <s v="834-45-5519"/>
    <x v="2"/>
    <x v="2"/>
    <s v="Normal"/>
    <x v="0"/>
    <x v="1"/>
    <n v="43"/>
    <n v="4"/>
    <n v="8.6"/>
    <n v="180.6"/>
    <x v="82"/>
    <d v="1899-12-30T20:48:00"/>
    <x v="0"/>
    <n v="172"/>
    <n v="4.7619047620000003"/>
    <n v="8.6"/>
    <n v="7.6"/>
  </r>
  <r>
    <s v="162-65-8559"/>
    <x v="1"/>
    <x v="1"/>
    <s v="Member"/>
    <x v="1"/>
    <x v="4"/>
    <n v="68.98"/>
    <n v="1"/>
    <n v="3.4489999999999998"/>
    <n v="72.429000000000002"/>
    <x v="18"/>
    <d v="1899-12-30T20:13:00"/>
    <x v="1"/>
    <n v="68.98"/>
    <n v="4.7619047620000003"/>
    <n v="3.4489999999999998"/>
    <n v="4.8"/>
  </r>
  <r>
    <s v="760-27-5490"/>
    <x v="1"/>
    <x v="1"/>
    <s v="Normal"/>
    <x v="1"/>
    <x v="5"/>
    <n v="15.62"/>
    <n v="8"/>
    <n v="6.2480000000000002"/>
    <n v="131.208"/>
    <x v="40"/>
    <d v="1899-12-30T20:37:00"/>
    <x v="0"/>
    <n v="124.96"/>
    <n v="4.7619047620000003"/>
    <n v="6.2480000000000002"/>
    <n v="9.1"/>
  </r>
  <r>
    <s v="445-30-9252"/>
    <x v="0"/>
    <x v="0"/>
    <s v="Normal"/>
    <x v="1"/>
    <x v="3"/>
    <n v="25.7"/>
    <n v="3"/>
    <n v="3.855"/>
    <n v="80.954999999999998"/>
    <x v="29"/>
    <d v="1899-12-30T17:59:00"/>
    <x v="0"/>
    <n v="77.099999999999994"/>
    <n v="4.7619047620000003"/>
    <n v="3.855"/>
    <n v="6.1"/>
  </r>
  <r>
    <s v="786-94-2700"/>
    <x v="0"/>
    <x v="0"/>
    <s v="Member"/>
    <x v="1"/>
    <x v="4"/>
    <n v="80.62"/>
    <n v="6"/>
    <n v="24.186"/>
    <n v="507.90600000000001"/>
    <x v="38"/>
    <d v="1899-12-30T20:18:00"/>
    <x v="1"/>
    <n v="483.72"/>
    <n v="4.7619047620000003"/>
    <n v="24.186"/>
    <n v="9.1"/>
  </r>
  <r>
    <s v="728-88-7867"/>
    <x v="1"/>
    <x v="1"/>
    <s v="Member"/>
    <x v="0"/>
    <x v="2"/>
    <n v="75.53"/>
    <n v="4"/>
    <n v="15.106"/>
    <n v="317.226"/>
    <x v="35"/>
    <d v="1899-12-30T15:52:00"/>
    <x v="0"/>
    <n v="302.12"/>
    <n v="4.7619047620000003"/>
    <n v="15.106"/>
    <n v="8.3000000000000007"/>
  </r>
  <r>
    <s v="183-21-3799"/>
    <x v="1"/>
    <x v="1"/>
    <s v="Normal"/>
    <x v="0"/>
    <x v="1"/>
    <n v="77.63"/>
    <n v="9"/>
    <n v="34.933500000000002"/>
    <n v="733.60350000000005"/>
    <x v="88"/>
    <d v="1899-12-30T15:14:00"/>
    <x v="0"/>
    <n v="698.67"/>
    <n v="4.7619047620000003"/>
    <n v="34.933500000000002"/>
    <n v="7.2"/>
  </r>
  <r>
    <s v="268-20-3585"/>
    <x v="1"/>
    <x v="1"/>
    <s v="Normal"/>
    <x v="0"/>
    <x v="0"/>
    <n v="13.85"/>
    <n v="9"/>
    <n v="6.2324999999999999"/>
    <n v="130.88249999999999"/>
    <x v="87"/>
    <d v="1899-12-30T12:50:00"/>
    <x v="0"/>
    <n v="124.65"/>
    <n v="4.7619047620000003"/>
    <n v="6.2324999999999999"/>
    <n v="6"/>
  </r>
  <r>
    <s v="735-32-9839"/>
    <x v="1"/>
    <x v="1"/>
    <s v="Member"/>
    <x v="1"/>
    <x v="5"/>
    <n v="98.7"/>
    <n v="8"/>
    <n v="39.479999999999997"/>
    <n v="829.08"/>
    <x v="82"/>
    <d v="1899-12-30T10:36:00"/>
    <x v="0"/>
    <n v="789.6"/>
    <n v="4.7619047620000003"/>
    <n v="39.479999999999997"/>
    <n v="8.5"/>
  </r>
  <r>
    <s v="258-92-7466"/>
    <x v="0"/>
    <x v="0"/>
    <s v="Normal"/>
    <x v="0"/>
    <x v="0"/>
    <n v="35.68"/>
    <n v="5"/>
    <n v="8.92"/>
    <n v="187.32"/>
    <x v="10"/>
    <d v="1899-12-30T18:33:00"/>
    <x v="2"/>
    <n v="178.4"/>
    <n v="4.7619047620000003"/>
    <n v="8.92"/>
    <n v="6.6"/>
  </r>
  <r>
    <s v="857-16-3520"/>
    <x v="0"/>
    <x v="0"/>
    <s v="Member"/>
    <x v="0"/>
    <x v="5"/>
    <n v="71.459999999999994"/>
    <n v="7"/>
    <n v="25.010999999999999"/>
    <n v="525.23099999999999"/>
    <x v="61"/>
    <d v="1899-12-30T16:06:00"/>
    <x v="0"/>
    <n v="500.22"/>
    <n v="4.7619047620000003"/>
    <n v="25.010999999999999"/>
    <n v="4.5"/>
  </r>
  <r>
    <s v="482-17-1179"/>
    <x v="0"/>
    <x v="0"/>
    <s v="Member"/>
    <x v="1"/>
    <x v="1"/>
    <n v="11.94"/>
    <n v="3"/>
    <n v="1.7909999999999999"/>
    <n v="37.610999999999997"/>
    <x v="64"/>
    <d v="1899-12-30T12:47:00"/>
    <x v="2"/>
    <n v="35.82"/>
    <n v="4.7619047620000003"/>
    <n v="1.7909999999999999"/>
    <n v="8.1"/>
  </r>
  <r>
    <s v="788-21-5741"/>
    <x v="0"/>
    <x v="0"/>
    <s v="Normal"/>
    <x v="1"/>
    <x v="5"/>
    <n v="45.38"/>
    <n v="3"/>
    <n v="6.8070000000000004"/>
    <n v="142.947"/>
    <x v="21"/>
    <d v="1899-12-30T13:34:00"/>
    <x v="2"/>
    <n v="136.13999999999999"/>
    <n v="4.7619047620000003"/>
    <n v="6.8070000000000004"/>
    <n v="7.2"/>
  </r>
  <r>
    <s v="821-14-9046"/>
    <x v="2"/>
    <x v="2"/>
    <s v="Member"/>
    <x v="0"/>
    <x v="5"/>
    <n v="17.48"/>
    <n v="6"/>
    <n v="5.2439999999999998"/>
    <n v="110.124"/>
    <x v="68"/>
    <d v="1899-12-30T15:04:00"/>
    <x v="2"/>
    <n v="104.88"/>
    <n v="4.7619047620000003"/>
    <n v="5.2439999999999998"/>
    <n v="6.1"/>
  </r>
  <r>
    <s v="418-05-0656"/>
    <x v="2"/>
    <x v="2"/>
    <s v="Normal"/>
    <x v="0"/>
    <x v="5"/>
    <n v="25.56"/>
    <n v="7"/>
    <n v="8.9459999999999997"/>
    <n v="187.86600000000001"/>
    <x v="30"/>
    <d v="1899-12-30T20:42:00"/>
    <x v="1"/>
    <n v="178.92"/>
    <n v="4.7619047620000003"/>
    <n v="8.9459999999999997"/>
    <n v="7.1"/>
  </r>
  <r>
    <s v="678-79-0726"/>
    <x v="1"/>
    <x v="1"/>
    <s v="Member"/>
    <x v="0"/>
    <x v="3"/>
    <n v="90.63"/>
    <n v="9"/>
    <n v="40.783499999999997"/>
    <n v="856.45349999999996"/>
    <x v="68"/>
    <d v="1899-12-30T15:28:00"/>
    <x v="1"/>
    <n v="815.67"/>
    <n v="4.7619047620000003"/>
    <n v="40.783499999999997"/>
    <n v="5.0999999999999996"/>
  </r>
  <r>
    <s v="776-68-1096"/>
    <x v="2"/>
    <x v="2"/>
    <s v="Normal"/>
    <x v="1"/>
    <x v="2"/>
    <n v="44.12"/>
    <n v="3"/>
    <n v="6.6180000000000003"/>
    <n v="138.97800000000001"/>
    <x v="79"/>
    <d v="1899-12-30T13:45:00"/>
    <x v="2"/>
    <n v="132.36000000000001"/>
    <n v="4.7619047620000003"/>
    <n v="6.6180000000000003"/>
    <n v="7.9"/>
  </r>
  <r>
    <s v="592-46-1692"/>
    <x v="1"/>
    <x v="1"/>
    <s v="Member"/>
    <x v="0"/>
    <x v="4"/>
    <n v="36.770000000000003"/>
    <n v="7"/>
    <n v="12.8695"/>
    <n v="270.2595"/>
    <x v="83"/>
    <d v="1899-12-30T20:10:00"/>
    <x v="1"/>
    <n v="257.39"/>
    <n v="4.7619047620000003"/>
    <n v="12.8695"/>
    <n v="7.4"/>
  </r>
  <r>
    <s v="434-35-9162"/>
    <x v="2"/>
    <x v="2"/>
    <s v="Member"/>
    <x v="1"/>
    <x v="4"/>
    <n v="23.34"/>
    <n v="4"/>
    <n v="4.6680000000000001"/>
    <n v="98.028000000000006"/>
    <x v="87"/>
    <d v="1899-12-30T18:53:00"/>
    <x v="0"/>
    <n v="93.36"/>
    <n v="4.7619047620000003"/>
    <n v="4.6680000000000001"/>
    <n v="7.4"/>
  </r>
  <r>
    <s v="149-14-0304"/>
    <x v="1"/>
    <x v="1"/>
    <s v="Member"/>
    <x v="0"/>
    <x v="0"/>
    <n v="28.5"/>
    <n v="8"/>
    <n v="11.4"/>
    <n v="239.4"/>
    <x v="10"/>
    <d v="1899-12-30T14:24:00"/>
    <x v="1"/>
    <n v="228"/>
    <n v="4.7619047620000003"/>
    <n v="11.4"/>
    <n v="6.6"/>
  </r>
  <r>
    <s v="442-44-6497"/>
    <x v="1"/>
    <x v="1"/>
    <s v="Member"/>
    <x v="1"/>
    <x v="2"/>
    <n v="55.57"/>
    <n v="3"/>
    <n v="8.3354999999999997"/>
    <n v="175.0455"/>
    <x v="66"/>
    <d v="1899-12-30T11:42:00"/>
    <x v="2"/>
    <n v="166.71"/>
    <n v="4.7619047620000003"/>
    <n v="8.3354999999999997"/>
    <n v="5.9"/>
  </r>
  <r>
    <s v="174-64-0215"/>
    <x v="2"/>
    <x v="2"/>
    <s v="Normal"/>
    <x v="1"/>
    <x v="3"/>
    <n v="69.739999999999995"/>
    <n v="10"/>
    <n v="34.869999999999997"/>
    <n v="732.27"/>
    <x v="19"/>
    <d v="1899-12-30T17:49:00"/>
    <x v="2"/>
    <n v="697.4"/>
    <n v="4.7619047620000003"/>
    <n v="34.869999999999997"/>
    <n v="8.9"/>
  </r>
  <r>
    <s v="210-74-9613"/>
    <x v="1"/>
    <x v="1"/>
    <s v="Normal"/>
    <x v="1"/>
    <x v="5"/>
    <n v="97.26"/>
    <n v="4"/>
    <n v="19.452000000000002"/>
    <n v="408.49200000000002"/>
    <x v="32"/>
    <d v="1899-12-30T15:33:00"/>
    <x v="0"/>
    <n v="389.04"/>
    <n v="4.7619047620000003"/>
    <n v="19.452000000000002"/>
    <n v="6.8"/>
  </r>
  <r>
    <s v="299-29-0180"/>
    <x v="2"/>
    <x v="2"/>
    <s v="Member"/>
    <x v="0"/>
    <x v="2"/>
    <n v="52.18"/>
    <n v="7"/>
    <n v="18.263000000000002"/>
    <n v="383.52300000000002"/>
    <x v="11"/>
    <d v="1899-12-30T10:54:00"/>
    <x v="1"/>
    <n v="365.26"/>
    <n v="4.7619047620000003"/>
    <n v="18.263000000000002"/>
    <n v="9.3000000000000007"/>
  </r>
  <r>
    <s v="247-11-2470"/>
    <x v="0"/>
    <x v="0"/>
    <s v="Member"/>
    <x v="0"/>
    <x v="5"/>
    <n v="22.32"/>
    <n v="4"/>
    <n v="4.4640000000000004"/>
    <n v="93.744"/>
    <x v="59"/>
    <d v="1899-12-30T16:23:00"/>
    <x v="2"/>
    <n v="89.28"/>
    <n v="4.7619047620000003"/>
    <n v="4.4640000000000004"/>
    <n v="4.4000000000000004"/>
  </r>
  <r>
    <s v="635-28-5728"/>
    <x v="0"/>
    <x v="0"/>
    <s v="Normal"/>
    <x v="1"/>
    <x v="0"/>
    <n v="56"/>
    <n v="3"/>
    <n v="8.4"/>
    <n v="176.4"/>
    <x v="38"/>
    <d v="1899-12-30T19:33:00"/>
    <x v="0"/>
    <n v="168"/>
    <n v="4.7619047620000003"/>
    <n v="8.4"/>
    <n v="4.8"/>
  </r>
  <r>
    <s v="756-49-0168"/>
    <x v="0"/>
    <x v="0"/>
    <s v="Member"/>
    <x v="1"/>
    <x v="5"/>
    <n v="19.7"/>
    <n v="1"/>
    <n v="0.98499999999999999"/>
    <n v="20.684999999999999"/>
    <x v="4"/>
    <d v="1899-12-30T11:39:00"/>
    <x v="0"/>
    <n v="19.7"/>
    <n v="4.7619047620000003"/>
    <n v="0.98499999999999999"/>
    <n v="9.5"/>
  </r>
  <r>
    <s v="438-23-1242"/>
    <x v="2"/>
    <x v="2"/>
    <s v="Normal"/>
    <x v="1"/>
    <x v="1"/>
    <n v="75.88"/>
    <n v="7"/>
    <n v="26.558"/>
    <n v="557.71799999999996"/>
    <x v="46"/>
    <d v="1899-12-30T10:38:00"/>
    <x v="0"/>
    <n v="531.16"/>
    <n v="4.7619047620000003"/>
    <n v="26.558"/>
    <n v="8.9"/>
  </r>
  <r>
    <s v="238-45-6950"/>
    <x v="2"/>
    <x v="2"/>
    <s v="Member"/>
    <x v="1"/>
    <x v="4"/>
    <n v="53.72"/>
    <n v="1"/>
    <n v="2.6859999999999999"/>
    <n v="56.405999999999999"/>
    <x v="59"/>
    <d v="1899-12-30T20:03:00"/>
    <x v="0"/>
    <n v="53.72"/>
    <n v="4.7619047620000003"/>
    <n v="2.6859999999999999"/>
    <n v="6.4"/>
  </r>
  <r>
    <s v="607-65-2441"/>
    <x v="1"/>
    <x v="1"/>
    <s v="Member"/>
    <x v="1"/>
    <x v="0"/>
    <n v="81.95"/>
    <n v="10"/>
    <n v="40.975000000000001"/>
    <n v="860.47500000000002"/>
    <x v="24"/>
    <d v="1899-12-30T12:39:00"/>
    <x v="2"/>
    <n v="819.5"/>
    <n v="4.7619047620000003"/>
    <n v="40.975000000000001"/>
    <n v="6"/>
  </r>
  <r>
    <s v="386-27-7606"/>
    <x v="1"/>
    <x v="1"/>
    <s v="Member"/>
    <x v="0"/>
    <x v="2"/>
    <n v="81.2"/>
    <n v="7"/>
    <n v="28.42"/>
    <n v="596.82000000000005"/>
    <x v="28"/>
    <d v="1899-12-30T15:59:00"/>
    <x v="2"/>
    <n v="568.4"/>
    <n v="4.7619047620000003"/>
    <n v="28.42"/>
    <n v="8.1"/>
  </r>
  <r>
    <s v="137-63-5492"/>
    <x v="1"/>
    <x v="1"/>
    <s v="Normal"/>
    <x v="1"/>
    <x v="1"/>
    <n v="58.76"/>
    <n v="10"/>
    <n v="29.38"/>
    <n v="616.98"/>
    <x v="71"/>
    <d v="1899-12-30T14:26:00"/>
    <x v="0"/>
    <n v="587.6"/>
    <n v="4.7619047620000003"/>
    <n v="29.38"/>
    <n v="9"/>
  </r>
  <r>
    <s v="197-77-7132"/>
    <x v="2"/>
    <x v="2"/>
    <s v="Member"/>
    <x v="1"/>
    <x v="1"/>
    <n v="91.56"/>
    <n v="8"/>
    <n v="36.624000000000002"/>
    <n v="769.10400000000004"/>
    <x v="52"/>
    <d v="1899-12-30T18:22:00"/>
    <x v="0"/>
    <n v="732.48"/>
    <n v="4.7619047620000003"/>
    <n v="36.624000000000002"/>
    <n v="6"/>
  </r>
  <r>
    <s v="805-86-0265"/>
    <x v="0"/>
    <x v="0"/>
    <s v="Normal"/>
    <x v="1"/>
    <x v="2"/>
    <n v="93.96"/>
    <n v="9"/>
    <n v="42.281999999999996"/>
    <n v="887.92200000000003"/>
    <x v="80"/>
    <d v="1899-12-30T11:32:00"/>
    <x v="1"/>
    <n v="845.64"/>
    <n v="4.7619047620000003"/>
    <n v="42.281999999999996"/>
    <n v="9.8000000000000007"/>
  </r>
  <r>
    <s v="733-29-1227"/>
    <x v="1"/>
    <x v="1"/>
    <s v="Normal"/>
    <x v="1"/>
    <x v="2"/>
    <n v="55.61"/>
    <n v="7"/>
    <n v="19.4635"/>
    <n v="408.73349999999999"/>
    <x v="28"/>
    <d v="1899-12-30T12:41:00"/>
    <x v="1"/>
    <n v="389.27"/>
    <n v="4.7619047620000003"/>
    <n v="19.4635"/>
    <n v="8.5"/>
  </r>
  <r>
    <s v="451-73-2711"/>
    <x v="1"/>
    <x v="1"/>
    <s v="Normal"/>
    <x v="1"/>
    <x v="4"/>
    <n v="84.83"/>
    <n v="1"/>
    <n v="4.2415000000000003"/>
    <n v="89.0715"/>
    <x v="78"/>
    <d v="1899-12-30T15:20:00"/>
    <x v="0"/>
    <n v="84.83"/>
    <n v="4.7619047620000003"/>
    <n v="4.2415000000000003"/>
    <n v="8.8000000000000007"/>
  </r>
  <r>
    <s v="373-14-0504"/>
    <x v="0"/>
    <x v="0"/>
    <s v="Member"/>
    <x v="0"/>
    <x v="3"/>
    <n v="71.63"/>
    <n v="2"/>
    <n v="7.1630000000000003"/>
    <n v="150.423"/>
    <x v="12"/>
    <d v="1899-12-30T14:33:00"/>
    <x v="0"/>
    <n v="143.26"/>
    <n v="4.7619047620000003"/>
    <n v="7.1630000000000003"/>
    <n v="8.8000000000000007"/>
  </r>
  <r>
    <s v="546-80-2899"/>
    <x v="0"/>
    <x v="0"/>
    <s v="Member"/>
    <x v="1"/>
    <x v="2"/>
    <n v="37.69"/>
    <n v="2"/>
    <n v="3.7690000000000001"/>
    <n v="79.149000000000001"/>
    <x v="9"/>
    <d v="1899-12-30T15:29:00"/>
    <x v="0"/>
    <n v="75.38"/>
    <n v="4.7619047620000003"/>
    <n v="3.7690000000000001"/>
    <n v="9.5"/>
  </r>
  <r>
    <s v="345-68-9016"/>
    <x v="1"/>
    <x v="1"/>
    <s v="Member"/>
    <x v="0"/>
    <x v="3"/>
    <n v="31.67"/>
    <n v="8"/>
    <n v="12.667999999999999"/>
    <n v="266.02800000000002"/>
    <x v="56"/>
    <d v="1899-12-30T16:19:00"/>
    <x v="2"/>
    <n v="253.36"/>
    <n v="4.7619047620000003"/>
    <n v="12.667999999999999"/>
    <n v="5.6"/>
  </r>
  <r>
    <s v="390-17-5806"/>
    <x v="1"/>
    <x v="1"/>
    <s v="Member"/>
    <x v="0"/>
    <x v="4"/>
    <n v="38.42"/>
    <n v="1"/>
    <n v="1.921"/>
    <n v="40.341000000000001"/>
    <x v="30"/>
    <d v="1899-12-30T16:33:00"/>
    <x v="1"/>
    <n v="38.42"/>
    <n v="4.7619047620000003"/>
    <n v="1.921"/>
    <n v="8.6"/>
  </r>
  <r>
    <s v="457-13-1708"/>
    <x v="2"/>
    <x v="2"/>
    <s v="Member"/>
    <x v="1"/>
    <x v="5"/>
    <n v="65.23"/>
    <n v="10"/>
    <n v="32.615000000000002"/>
    <n v="684.91499999999996"/>
    <x v="66"/>
    <d v="1899-12-30T19:07:00"/>
    <x v="2"/>
    <n v="652.29999999999995"/>
    <n v="4.7619047620000003"/>
    <n v="32.615000000000002"/>
    <n v="5.2"/>
  </r>
  <r>
    <s v="664-14-2882"/>
    <x v="1"/>
    <x v="1"/>
    <s v="Member"/>
    <x v="0"/>
    <x v="2"/>
    <n v="10.53"/>
    <n v="5"/>
    <n v="2.6324999999999998"/>
    <n v="55.282499999999999"/>
    <x v="74"/>
    <d v="1899-12-30T14:43:00"/>
    <x v="2"/>
    <n v="52.65"/>
    <n v="4.7619047620000003"/>
    <n v="2.6324999999999998"/>
    <n v="5.8"/>
  </r>
  <r>
    <s v="487-79-6868"/>
    <x v="2"/>
    <x v="2"/>
    <s v="Member"/>
    <x v="0"/>
    <x v="2"/>
    <n v="12.29"/>
    <n v="9"/>
    <n v="5.5305"/>
    <n v="116.1405"/>
    <x v="58"/>
    <d v="1899-12-30T19:28:00"/>
    <x v="2"/>
    <n v="110.61"/>
    <n v="4.7619047620000003"/>
    <n v="5.5305"/>
    <n v="8"/>
  </r>
  <r>
    <s v="314-23-4520"/>
    <x v="1"/>
    <x v="1"/>
    <s v="Member"/>
    <x v="1"/>
    <x v="0"/>
    <n v="81.23"/>
    <n v="7"/>
    <n v="28.430499999999999"/>
    <n v="597.04049999999995"/>
    <x v="15"/>
    <d v="1899-12-30T20:44:00"/>
    <x v="1"/>
    <n v="568.61"/>
    <n v="4.7619047620000003"/>
    <n v="28.430499999999999"/>
    <n v="9"/>
  </r>
  <r>
    <s v="210-30-7976"/>
    <x v="2"/>
    <x v="2"/>
    <s v="Member"/>
    <x v="0"/>
    <x v="5"/>
    <n v="22.32"/>
    <n v="4"/>
    <n v="4.4640000000000004"/>
    <n v="93.744"/>
    <x v="86"/>
    <d v="1899-12-30T11:16:00"/>
    <x v="0"/>
    <n v="89.28"/>
    <n v="4.7619047620000003"/>
    <n v="4.4640000000000004"/>
    <n v="4.0999999999999996"/>
  </r>
  <r>
    <s v="585-86-8361"/>
    <x v="0"/>
    <x v="0"/>
    <s v="Normal"/>
    <x v="0"/>
    <x v="4"/>
    <n v="27.28"/>
    <n v="5"/>
    <n v="6.82"/>
    <n v="143.22"/>
    <x v="36"/>
    <d v="1899-12-30T10:31:00"/>
    <x v="2"/>
    <n v="136.4"/>
    <n v="4.7619047620000003"/>
    <n v="6.82"/>
    <n v="8.6"/>
  </r>
  <r>
    <s v="807-14-7833"/>
    <x v="0"/>
    <x v="0"/>
    <s v="Member"/>
    <x v="0"/>
    <x v="1"/>
    <n v="17.420000000000002"/>
    <n v="10"/>
    <n v="8.7100000000000009"/>
    <n v="182.91"/>
    <x v="70"/>
    <d v="1899-12-30T12:30:00"/>
    <x v="0"/>
    <n v="174.2"/>
    <n v="4.7619047620000003"/>
    <n v="8.7100000000000009"/>
    <n v="7"/>
  </r>
  <r>
    <s v="775-72-1988"/>
    <x v="2"/>
    <x v="2"/>
    <s v="Normal"/>
    <x v="1"/>
    <x v="2"/>
    <n v="73.28"/>
    <n v="5"/>
    <n v="18.32"/>
    <n v="384.72"/>
    <x v="46"/>
    <d v="1899-12-30T15:05:00"/>
    <x v="0"/>
    <n v="366.4"/>
    <n v="4.7619047620000003"/>
    <n v="18.32"/>
    <n v="8.4"/>
  </r>
  <r>
    <s v="288-38-3758"/>
    <x v="1"/>
    <x v="1"/>
    <s v="Member"/>
    <x v="0"/>
    <x v="5"/>
    <n v="84.87"/>
    <n v="3"/>
    <n v="12.730499999999999"/>
    <n v="267.34050000000002"/>
    <x v="25"/>
    <d v="1899-12-30T18:30:00"/>
    <x v="0"/>
    <n v="254.61"/>
    <n v="4.7619047620000003"/>
    <n v="12.730499999999999"/>
    <n v="7.4"/>
  </r>
  <r>
    <s v="652-43-6591"/>
    <x v="0"/>
    <x v="0"/>
    <s v="Normal"/>
    <x v="0"/>
    <x v="5"/>
    <n v="97.29"/>
    <n v="8"/>
    <n v="38.915999999999997"/>
    <n v="817.23599999999999"/>
    <x v="11"/>
    <d v="1899-12-30T13:18:00"/>
    <x v="2"/>
    <n v="778.32"/>
    <n v="4.7619047620000003"/>
    <n v="38.915999999999997"/>
    <n v="6.2"/>
  </r>
  <r>
    <s v="785-96-0615"/>
    <x v="2"/>
    <x v="2"/>
    <s v="Member"/>
    <x v="0"/>
    <x v="1"/>
    <n v="35.74"/>
    <n v="8"/>
    <n v="14.295999999999999"/>
    <n v="300.21600000000001"/>
    <x v="21"/>
    <d v="1899-12-30T15:28:00"/>
    <x v="0"/>
    <n v="285.92"/>
    <n v="4.7619047620000003"/>
    <n v="14.295999999999999"/>
    <n v="4.9000000000000004"/>
  </r>
  <r>
    <s v="406-46-7107"/>
    <x v="0"/>
    <x v="0"/>
    <s v="Normal"/>
    <x v="0"/>
    <x v="2"/>
    <n v="96.52"/>
    <n v="6"/>
    <n v="28.956"/>
    <n v="608.07600000000002"/>
    <x v="83"/>
    <d v="1899-12-30T11:52:00"/>
    <x v="1"/>
    <n v="579.12"/>
    <n v="4.7619047620000003"/>
    <n v="28.956"/>
    <n v="4.5"/>
  </r>
  <r>
    <s v="250-17-5703"/>
    <x v="0"/>
    <x v="0"/>
    <s v="Member"/>
    <x v="1"/>
    <x v="4"/>
    <n v="18.850000000000001"/>
    <n v="10"/>
    <n v="9.4250000000000007"/>
    <n v="197.92500000000001"/>
    <x v="33"/>
    <d v="1899-12-30T18:24:00"/>
    <x v="0"/>
    <n v="188.5"/>
    <n v="4.7619047620000003"/>
    <n v="9.4250000000000007"/>
    <n v="5.6"/>
  </r>
  <r>
    <s v="156-95-3964"/>
    <x v="0"/>
    <x v="0"/>
    <s v="Normal"/>
    <x v="0"/>
    <x v="4"/>
    <n v="55.39"/>
    <n v="4"/>
    <n v="11.077999999999999"/>
    <n v="232.63800000000001"/>
    <x v="5"/>
    <d v="1899-12-30T15:19:00"/>
    <x v="0"/>
    <n v="221.56"/>
    <n v="4.7619047620000003"/>
    <n v="11.077999999999999"/>
    <n v="8"/>
  </r>
  <r>
    <s v="842-40-8179"/>
    <x v="2"/>
    <x v="2"/>
    <s v="Member"/>
    <x v="0"/>
    <x v="4"/>
    <n v="77.2"/>
    <n v="10"/>
    <n v="38.6"/>
    <n v="810.6"/>
    <x v="48"/>
    <d v="1899-12-30T10:38:00"/>
    <x v="2"/>
    <n v="772"/>
    <n v="4.7619047620000003"/>
    <n v="38.6"/>
    <n v="5.6"/>
  </r>
  <r>
    <s v="525-09-8450"/>
    <x v="2"/>
    <x v="2"/>
    <s v="Normal"/>
    <x v="1"/>
    <x v="1"/>
    <n v="72.13"/>
    <n v="10"/>
    <n v="36.064999999999998"/>
    <n v="757.36500000000001"/>
    <x v="82"/>
    <d v="1899-12-30T15:12:00"/>
    <x v="2"/>
    <n v="721.3"/>
    <n v="4.7619047620000003"/>
    <n v="36.064999999999998"/>
    <n v="4.2"/>
  </r>
  <r>
    <s v="410-67-1709"/>
    <x v="0"/>
    <x v="0"/>
    <s v="Member"/>
    <x v="0"/>
    <x v="5"/>
    <n v="63.88"/>
    <n v="8"/>
    <n v="25.552"/>
    <n v="536.59199999999998"/>
    <x v="40"/>
    <d v="1899-12-30T17:48:00"/>
    <x v="0"/>
    <n v="511.04"/>
    <n v="4.7619047620000003"/>
    <n v="25.552"/>
    <n v="9.9"/>
  </r>
  <r>
    <s v="587-73-4862"/>
    <x v="0"/>
    <x v="0"/>
    <s v="Member"/>
    <x v="0"/>
    <x v="0"/>
    <n v="10.69"/>
    <n v="5"/>
    <n v="2.6724999999999999"/>
    <n v="56.122500000000002"/>
    <x v="58"/>
    <d v="1899-12-30T11:07:00"/>
    <x v="0"/>
    <n v="53.45"/>
    <n v="4.7619047620000003"/>
    <n v="2.6724999999999999"/>
    <n v="7.6"/>
  </r>
  <r>
    <s v="787-87-2010"/>
    <x v="0"/>
    <x v="0"/>
    <s v="Member"/>
    <x v="1"/>
    <x v="0"/>
    <n v="55.5"/>
    <n v="4"/>
    <n v="11.1"/>
    <n v="233.1"/>
    <x v="40"/>
    <d v="1899-12-30T15:48:00"/>
    <x v="2"/>
    <n v="222"/>
    <n v="4.7619047620000003"/>
    <n v="11.1"/>
    <n v="6.6"/>
  </r>
  <r>
    <s v="593-14-4239"/>
    <x v="2"/>
    <x v="2"/>
    <s v="Normal"/>
    <x v="0"/>
    <x v="2"/>
    <n v="95.46"/>
    <n v="8"/>
    <n v="38.183999999999997"/>
    <n v="801.86400000000003"/>
    <x v="19"/>
    <d v="1899-12-30T19:40:00"/>
    <x v="0"/>
    <n v="763.68"/>
    <n v="4.7619047620000003"/>
    <n v="38.183999999999997"/>
    <n v="4.7"/>
  </r>
  <r>
    <s v="801-88-0346"/>
    <x v="1"/>
    <x v="1"/>
    <s v="Normal"/>
    <x v="0"/>
    <x v="5"/>
    <n v="76.06"/>
    <n v="3"/>
    <n v="11.409000000000001"/>
    <n v="239.589"/>
    <x v="0"/>
    <d v="1899-12-30T20:30:00"/>
    <x v="2"/>
    <n v="228.18"/>
    <n v="4.7619047620000003"/>
    <n v="11.409000000000001"/>
    <n v="9.8000000000000007"/>
  </r>
  <r>
    <s v="388-76-2555"/>
    <x v="2"/>
    <x v="2"/>
    <s v="Normal"/>
    <x v="1"/>
    <x v="3"/>
    <n v="13.69"/>
    <n v="6"/>
    <n v="4.1070000000000002"/>
    <n v="86.247"/>
    <x v="77"/>
    <d v="1899-12-30T13:59:00"/>
    <x v="1"/>
    <n v="82.14"/>
    <n v="4.7619047620000003"/>
    <n v="4.1070000000000002"/>
    <n v="6.3"/>
  </r>
  <r>
    <s v="711-31-1234"/>
    <x v="2"/>
    <x v="2"/>
    <s v="Normal"/>
    <x v="0"/>
    <x v="1"/>
    <n v="95.64"/>
    <n v="4"/>
    <n v="19.128"/>
    <n v="401.68799999999999"/>
    <x v="32"/>
    <d v="1899-12-30T18:51:00"/>
    <x v="1"/>
    <n v="382.56"/>
    <n v="4.7619047620000003"/>
    <n v="19.128"/>
    <n v="7.9"/>
  </r>
  <r>
    <s v="886-54-6089"/>
    <x v="0"/>
    <x v="0"/>
    <s v="Normal"/>
    <x v="0"/>
    <x v="2"/>
    <n v="11.43"/>
    <n v="6"/>
    <n v="3.4289999999999998"/>
    <n v="72.009"/>
    <x v="15"/>
    <d v="1899-12-30T17:24:00"/>
    <x v="1"/>
    <n v="68.58"/>
    <n v="4.7619047620000003"/>
    <n v="3.4289999999999998"/>
    <n v="7.7"/>
  </r>
  <r>
    <s v="707-32-7409"/>
    <x v="2"/>
    <x v="2"/>
    <s v="Member"/>
    <x v="0"/>
    <x v="3"/>
    <n v="95.54"/>
    <n v="4"/>
    <n v="19.108000000000001"/>
    <n v="401.26799999999997"/>
    <x v="84"/>
    <d v="1899-12-30T11:58:00"/>
    <x v="0"/>
    <n v="382.16"/>
    <n v="4.7619047620000003"/>
    <n v="19.108000000000001"/>
    <n v="4.5"/>
  </r>
  <r>
    <s v="759-98-4285"/>
    <x v="1"/>
    <x v="1"/>
    <s v="Member"/>
    <x v="0"/>
    <x v="0"/>
    <n v="85.87"/>
    <n v="7"/>
    <n v="30.054500000000001"/>
    <n v="631.14449999999999"/>
    <x v="33"/>
    <d v="1899-12-30T19:01:00"/>
    <x v="2"/>
    <n v="601.09"/>
    <n v="4.7619047620000003"/>
    <n v="30.054500000000001"/>
    <n v="8"/>
  </r>
  <r>
    <s v="201-63-8275"/>
    <x v="1"/>
    <x v="1"/>
    <s v="Member"/>
    <x v="0"/>
    <x v="3"/>
    <n v="67.989999999999995"/>
    <n v="7"/>
    <n v="23.796500000000002"/>
    <n v="499.72649999999999"/>
    <x v="21"/>
    <d v="1899-12-30T16:50:00"/>
    <x v="0"/>
    <n v="475.93"/>
    <n v="4.7619047620000003"/>
    <n v="23.796500000000002"/>
    <n v="5.7"/>
  </r>
  <r>
    <s v="471-06-8611"/>
    <x v="1"/>
    <x v="1"/>
    <s v="Normal"/>
    <x v="0"/>
    <x v="4"/>
    <n v="52.42"/>
    <n v="1"/>
    <n v="2.621"/>
    <n v="55.040999999999997"/>
    <x v="10"/>
    <d v="1899-12-30T10:22:00"/>
    <x v="2"/>
    <n v="52.42"/>
    <n v="4.7619047620000003"/>
    <n v="2.621"/>
    <n v="6.3"/>
  </r>
  <r>
    <s v="200-16-5952"/>
    <x v="1"/>
    <x v="1"/>
    <s v="Member"/>
    <x v="1"/>
    <x v="4"/>
    <n v="65.650000000000006"/>
    <n v="2"/>
    <n v="6.5650000000000004"/>
    <n v="137.86500000000001"/>
    <x v="29"/>
    <d v="1899-12-30T16:46:00"/>
    <x v="1"/>
    <n v="131.30000000000001"/>
    <n v="4.7619047620000003"/>
    <n v="6.5650000000000004"/>
    <n v="6"/>
  </r>
  <r>
    <s v="120-54-2248"/>
    <x v="2"/>
    <x v="2"/>
    <s v="Normal"/>
    <x v="0"/>
    <x v="4"/>
    <n v="28.86"/>
    <n v="5"/>
    <n v="7.2149999999999999"/>
    <n v="151.51499999999999"/>
    <x v="49"/>
    <d v="1899-12-30T18:08:00"/>
    <x v="2"/>
    <n v="144.30000000000001"/>
    <n v="4.7619047620000003"/>
    <n v="7.2149999999999999"/>
    <n v="8"/>
  </r>
  <r>
    <s v="102-77-2261"/>
    <x v="1"/>
    <x v="1"/>
    <s v="Member"/>
    <x v="1"/>
    <x v="0"/>
    <n v="65.31"/>
    <n v="7"/>
    <n v="22.858499999999999"/>
    <n v="480.02850000000001"/>
    <x v="19"/>
    <d v="1899-12-30T18:02:00"/>
    <x v="2"/>
    <n v="457.17"/>
    <n v="4.7619047620000003"/>
    <n v="22.858499999999999"/>
    <n v="4.2"/>
  </r>
  <r>
    <s v="875-31-8302"/>
    <x v="2"/>
    <x v="2"/>
    <s v="Normal"/>
    <x v="1"/>
    <x v="3"/>
    <n v="93.38"/>
    <n v="1"/>
    <n v="4.6689999999999996"/>
    <n v="98.049000000000007"/>
    <x v="75"/>
    <d v="1899-12-30T13:07:00"/>
    <x v="1"/>
    <n v="93.38"/>
    <n v="4.7619047620000003"/>
    <n v="4.6689999999999996"/>
    <n v="9.6"/>
  </r>
  <r>
    <s v="102-06-2002"/>
    <x v="1"/>
    <x v="1"/>
    <s v="Member"/>
    <x v="1"/>
    <x v="3"/>
    <n v="25.25"/>
    <n v="5"/>
    <n v="6.3125"/>
    <n v="132.5625"/>
    <x v="80"/>
    <d v="1899-12-30T17:52:00"/>
    <x v="1"/>
    <n v="126.25"/>
    <n v="4.7619047620000003"/>
    <n v="6.3125"/>
    <n v="6.1"/>
  </r>
  <r>
    <s v="457-94-0464"/>
    <x v="2"/>
    <x v="2"/>
    <s v="Member"/>
    <x v="1"/>
    <x v="1"/>
    <n v="87.87"/>
    <n v="9"/>
    <n v="39.541499999999999"/>
    <n v="830.37149999999997"/>
    <x v="82"/>
    <d v="1899-12-30T20:32:00"/>
    <x v="0"/>
    <n v="790.83"/>
    <n v="4.7619047620000003"/>
    <n v="39.541499999999999"/>
    <n v="5.6"/>
  </r>
  <r>
    <s v="629-42-4133"/>
    <x v="1"/>
    <x v="1"/>
    <s v="Normal"/>
    <x v="1"/>
    <x v="0"/>
    <n v="21.8"/>
    <n v="8"/>
    <n v="8.7200000000000006"/>
    <n v="183.12"/>
    <x v="88"/>
    <d v="1899-12-30T19:24:00"/>
    <x v="1"/>
    <n v="174.4"/>
    <n v="4.7619047620000003"/>
    <n v="8.7200000000000006"/>
    <n v="8.3000000000000007"/>
  </r>
  <r>
    <s v="534-53-3526"/>
    <x v="0"/>
    <x v="0"/>
    <s v="Normal"/>
    <x v="0"/>
    <x v="3"/>
    <n v="94.76"/>
    <n v="4"/>
    <n v="18.952000000000002"/>
    <n v="397.99200000000002"/>
    <x v="48"/>
    <d v="1899-12-30T16:06:00"/>
    <x v="0"/>
    <n v="379.04"/>
    <n v="4.7619047620000003"/>
    <n v="18.952000000000002"/>
    <n v="7.8"/>
  </r>
  <r>
    <s v="307-04-2070"/>
    <x v="0"/>
    <x v="0"/>
    <s v="Member"/>
    <x v="0"/>
    <x v="5"/>
    <n v="30.62"/>
    <n v="1"/>
    <n v="1.5309999999999999"/>
    <n v="32.151000000000003"/>
    <x v="63"/>
    <d v="1899-12-30T14:14:00"/>
    <x v="2"/>
    <n v="30.62"/>
    <n v="4.7619047620000003"/>
    <n v="1.5309999999999999"/>
    <n v="4.0999999999999996"/>
  </r>
  <r>
    <s v="468-99-7231"/>
    <x v="1"/>
    <x v="1"/>
    <s v="Normal"/>
    <x v="0"/>
    <x v="2"/>
    <n v="44.01"/>
    <n v="8"/>
    <n v="17.603999999999999"/>
    <n v="369.68400000000003"/>
    <x v="2"/>
    <d v="1899-12-30T17:36:00"/>
    <x v="1"/>
    <n v="352.08"/>
    <n v="4.7619047620000003"/>
    <n v="17.603999999999999"/>
    <n v="8.8000000000000007"/>
  </r>
  <r>
    <s v="516-77-6464"/>
    <x v="1"/>
    <x v="1"/>
    <s v="Member"/>
    <x v="0"/>
    <x v="0"/>
    <n v="10.16"/>
    <n v="5"/>
    <n v="2.54"/>
    <n v="53.34"/>
    <x v="7"/>
    <d v="1899-12-30T13:08:00"/>
    <x v="0"/>
    <n v="50.8"/>
    <n v="4.7619047620000003"/>
    <n v="2.54"/>
    <n v="4.0999999999999996"/>
  </r>
  <r>
    <s v="404-91-5964"/>
    <x v="0"/>
    <x v="0"/>
    <s v="Normal"/>
    <x v="1"/>
    <x v="1"/>
    <n v="74.58"/>
    <n v="7"/>
    <n v="26.103000000000002"/>
    <n v="548.16300000000001"/>
    <x v="87"/>
    <d v="1899-12-30T16:09:00"/>
    <x v="2"/>
    <n v="522.05999999999995"/>
    <n v="4.7619047620000003"/>
    <n v="26.103000000000002"/>
    <n v="9"/>
  </r>
  <r>
    <s v="886-77-9084"/>
    <x v="1"/>
    <x v="1"/>
    <s v="Normal"/>
    <x v="1"/>
    <x v="1"/>
    <n v="71.89"/>
    <n v="8"/>
    <n v="28.756"/>
    <n v="603.87599999999998"/>
    <x v="88"/>
    <d v="1899-12-30T11:33:00"/>
    <x v="0"/>
    <n v="575.12"/>
    <n v="4.7619047620000003"/>
    <n v="28.756"/>
    <n v="5.5"/>
  </r>
  <r>
    <s v="790-38-4466"/>
    <x v="1"/>
    <x v="1"/>
    <s v="Normal"/>
    <x v="0"/>
    <x v="0"/>
    <n v="10.99"/>
    <n v="5"/>
    <n v="2.7475000000000001"/>
    <n v="57.697499999999998"/>
    <x v="54"/>
    <d v="1899-12-30T10:18:00"/>
    <x v="2"/>
    <n v="54.95"/>
    <n v="4.7619047620000003"/>
    <n v="2.7475000000000001"/>
    <n v="9.3000000000000007"/>
  </r>
  <r>
    <s v="704-10-4056"/>
    <x v="1"/>
    <x v="1"/>
    <s v="Member"/>
    <x v="1"/>
    <x v="0"/>
    <n v="60.47"/>
    <n v="3"/>
    <n v="9.0704999999999991"/>
    <n v="190.48050000000001"/>
    <x v="78"/>
    <d v="1899-12-30T10:55:00"/>
    <x v="2"/>
    <n v="181.41"/>
    <n v="4.7619047620000003"/>
    <n v="9.0704999999999991"/>
    <n v="5.6"/>
  </r>
  <r>
    <s v="497-37-6538"/>
    <x v="0"/>
    <x v="0"/>
    <s v="Normal"/>
    <x v="1"/>
    <x v="3"/>
    <n v="58.91"/>
    <n v="7"/>
    <n v="20.618500000000001"/>
    <n v="432.98849999999999"/>
    <x v="29"/>
    <d v="1899-12-30T15:15:00"/>
    <x v="0"/>
    <n v="412.37"/>
    <n v="4.7619047620000003"/>
    <n v="20.618500000000001"/>
    <n v="9.6999999999999993"/>
  </r>
  <r>
    <s v="651-96-5970"/>
    <x v="0"/>
    <x v="0"/>
    <s v="Normal"/>
    <x v="1"/>
    <x v="5"/>
    <n v="46.41"/>
    <n v="1"/>
    <n v="2.3205"/>
    <n v="48.730499999999999"/>
    <x v="2"/>
    <d v="1899-12-30T20:06:00"/>
    <x v="2"/>
    <n v="46.41"/>
    <n v="4.7619047620000003"/>
    <n v="2.3205"/>
    <n v="4"/>
  </r>
  <r>
    <s v="400-80-4065"/>
    <x v="1"/>
    <x v="1"/>
    <s v="Member"/>
    <x v="1"/>
    <x v="0"/>
    <n v="68.55"/>
    <n v="4"/>
    <n v="13.71"/>
    <n v="287.91000000000003"/>
    <x v="42"/>
    <d v="1899-12-30T20:21:00"/>
    <x v="2"/>
    <n v="274.2"/>
    <n v="4.7619047620000003"/>
    <n v="13.71"/>
    <n v="9.1999999999999993"/>
  </r>
  <r>
    <s v="744-16-7898"/>
    <x v="2"/>
    <x v="2"/>
    <s v="Normal"/>
    <x v="0"/>
    <x v="2"/>
    <n v="97.37"/>
    <n v="10"/>
    <n v="48.685000000000002"/>
    <n v="1022.385"/>
    <x v="15"/>
    <d v="1899-12-30T13:48:00"/>
    <x v="2"/>
    <n v="973.7"/>
    <n v="4.7619047620000003"/>
    <n v="48.685000000000002"/>
    <n v="4.9000000000000004"/>
  </r>
  <r>
    <s v="263-12-5321"/>
    <x v="0"/>
    <x v="0"/>
    <s v="Member"/>
    <x v="1"/>
    <x v="1"/>
    <n v="92.6"/>
    <n v="7"/>
    <n v="32.409999999999997"/>
    <n v="680.61"/>
    <x v="33"/>
    <d v="1899-12-30T12:52:00"/>
    <x v="2"/>
    <n v="648.20000000000005"/>
    <n v="4.7619047620000003"/>
    <n v="32.409999999999997"/>
    <n v="9.3000000000000007"/>
  </r>
  <r>
    <s v="702-72-0487"/>
    <x v="0"/>
    <x v="0"/>
    <s v="Normal"/>
    <x v="0"/>
    <x v="1"/>
    <n v="46.61"/>
    <n v="2"/>
    <n v="4.6609999999999996"/>
    <n v="97.881"/>
    <x v="84"/>
    <d v="1899-12-30T12:28:00"/>
    <x v="2"/>
    <n v="93.22"/>
    <n v="4.7619047620000003"/>
    <n v="4.6609999999999996"/>
    <n v="6.6"/>
  </r>
  <r>
    <s v="605-83-1050"/>
    <x v="2"/>
    <x v="2"/>
    <s v="Normal"/>
    <x v="1"/>
    <x v="5"/>
    <n v="27.18"/>
    <n v="2"/>
    <n v="2.718"/>
    <n v="57.078000000000003"/>
    <x v="20"/>
    <d v="1899-12-30T16:26:00"/>
    <x v="0"/>
    <n v="54.36"/>
    <n v="4.7619047620000003"/>
    <n v="2.718"/>
    <n v="4.3"/>
  </r>
  <r>
    <s v="443-60-9639"/>
    <x v="1"/>
    <x v="1"/>
    <s v="Member"/>
    <x v="0"/>
    <x v="2"/>
    <n v="60.87"/>
    <n v="1"/>
    <n v="3.0434999999999999"/>
    <n v="63.913499999999999"/>
    <x v="46"/>
    <d v="1899-12-30T13:24:00"/>
    <x v="1"/>
    <n v="60.87"/>
    <n v="4.7619047620000003"/>
    <n v="3.0434999999999999"/>
    <n v="5.5"/>
  </r>
  <r>
    <s v="864-24-7918"/>
    <x v="0"/>
    <x v="0"/>
    <s v="Member"/>
    <x v="0"/>
    <x v="3"/>
    <n v="24.49"/>
    <n v="10"/>
    <n v="12.244999999999999"/>
    <n v="257.14499999999998"/>
    <x v="70"/>
    <d v="1899-12-30T15:15:00"/>
    <x v="1"/>
    <n v="244.9"/>
    <n v="4.7619047620000003"/>
    <n v="12.244999999999999"/>
    <n v="8.1"/>
  </r>
  <r>
    <s v="359-94-5395"/>
    <x v="2"/>
    <x v="2"/>
    <s v="Normal"/>
    <x v="1"/>
    <x v="0"/>
    <n v="92.78"/>
    <n v="1"/>
    <n v="4.6390000000000002"/>
    <n v="97.418999999999997"/>
    <x v="20"/>
    <d v="1899-12-30T10:50:00"/>
    <x v="2"/>
    <n v="92.78"/>
    <n v="4.7619047620000003"/>
    <n v="4.6390000000000002"/>
    <n v="9.8000000000000007"/>
  </r>
  <r>
    <s v="401-09-4232"/>
    <x v="1"/>
    <x v="1"/>
    <s v="Member"/>
    <x v="1"/>
    <x v="2"/>
    <n v="86.69"/>
    <n v="5"/>
    <n v="21.672499999999999"/>
    <n v="455.1225"/>
    <x v="48"/>
    <d v="1899-12-30T18:38:00"/>
    <x v="0"/>
    <n v="433.45"/>
    <n v="4.7619047620000003"/>
    <n v="21.672499999999999"/>
    <n v="9.4"/>
  </r>
  <r>
    <s v="751-15-6198"/>
    <x v="2"/>
    <x v="2"/>
    <s v="Normal"/>
    <x v="1"/>
    <x v="3"/>
    <n v="23.01"/>
    <n v="6"/>
    <n v="6.9029999999999996"/>
    <n v="144.96299999999999"/>
    <x v="52"/>
    <d v="1899-12-30T16:45:00"/>
    <x v="0"/>
    <n v="138.06"/>
    <n v="4.7619047620000003"/>
    <n v="6.9029999999999996"/>
    <n v="7.9"/>
  </r>
  <r>
    <s v="324-41-6833"/>
    <x v="1"/>
    <x v="1"/>
    <s v="Member"/>
    <x v="0"/>
    <x v="1"/>
    <n v="30.2"/>
    <n v="8"/>
    <n v="12.08"/>
    <n v="253.68"/>
    <x v="2"/>
    <d v="1899-12-30T19:30:00"/>
    <x v="0"/>
    <n v="241.6"/>
    <n v="4.7619047620000003"/>
    <n v="12.08"/>
    <n v="5.0999999999999996"/>
  </r>
  <r>
    <s v="474-33-8305"/>
    <x v="1"/>
    <x v="1"/>
    <s v="Member"/>
    <x v="1"/>
    <x v="5"/>
    <n v="67.39"/>
    <n v="7"/>
    <n v="23.586500000000001"/>
    <n v="495.31650000000002"/>
    <x v="28"/>
    <d v="1899-12-30T13:23:00"/>
    <x v="0"/>
    <n v="471.73"/>
    <n v="4.7619047620000003"/>
    <n v="23.586500000000001"/>
    <n v="6.9"/>
  </r>
  <r>
    <s v="759-29-9521"/>
    <x v="0"/>
    <x v="0"/>
    <s v="Member"/>
    <x v="0"/>
    <x v="5"/>
    <n v="48.96"/>
    <n v="9"/>
    <n v="22.032"/>
    <n v="462.67200000000003"/>
    <x v="31"/>
    <d v="1899-12-30T11:27:00"/>
    <x v="1"/>
    <n v="440.64"/>
    <n v="4.7619047620000003"/>
    <n v="22.032"/>
    <n v="8"/>
  </r>
  <r>
    <s v="831-81-6575"/>
    <x v="2"/>
    <x v="2"/>
    <s v="Member"/>
    <x v="0"/>
    <x v="1"/>
    <n v="75.59"/>
    <n v="9"/>
    <n v="34.015500000000003"/>
    <n v="714.32550000000003"/>
    <x v="55"/>
    <d v="1899-12-30T11:12:00"/>
    <x v="1"/>
    <n v="680.31"/>
    <n v="4.7619047620000003"/>
    <n v="34.015500000000003"/>
    <n v="8"/>
  </r>
  <r>
    <s v="220-68-6701"/>
    <x v="0"/>
    <x v="0"/>
    <s v="Normal"/>
    <x v="0"/>
    <x v="2"/>
    <n v="77.47"/>
    <n v="4"/>
    <n v="15.494"/>
    <n v="325.37400000000002"/>
    <x v="85"/>
    <d v="1899-12-30T16:36:00"/>
    <x v="1"/>
    <n v="309.88"/>
    <n v="4.7619047620000003"/>
    <n v="15.494"/>
    <n v="4.2"/>
  </r>
  <r>
    <s v="618-34-8551"/>
    <x v="0"/>
    <x v="0"/>
    <s v="Normal"/>
    <x v="0"/>
    <x v="3"/>
    <n v="93.18"/>
    <n v="2"/>
    <n v="9.3179999999999996"/>
    <n v="195.678"/>
    <x v="65"/>
    <d v="1899-12-30T18:41:00"/>
    <x v="2"/>
    <n v="186.36"/>
    <n v="4.7619047620000003"/>
    <n v="9.3179999999999996"/>
    <n v="8.5"/>
  </r>
  <r>
    <s v="257-60-7754"/>
    <x v="0"/>
    <x v="0"/>
    <s v="Normal"/>
    <x v="0"/>
    <x v="1"/>
    <n v="50.23"/>
    <n v="4"/>
    <n v="10.045999999999999"/>
    <n v="210.96600000000001"/>
    <x v="66"/>
    <d v="1899-12-30T17:12:00"/>
    <x v="1"/>
    <n v="200.92"/>
    <n v="4.7619047620000003"/>
    <n v="10.045999999999999"/>
    <n v="9"/>
  </r>
  <r>
    <s v="559-61-5987"/>
    <x v="2"/>
    <x v="2"/>
    <s v="Normal"/>
    <x v="0"/>
    <x v="0"/>
    <n v="17.75"/>
    <n v="1"/>
    <n v="0.88749999999999996"/>
    <n v="18.637499999999999"/>
    <x v="78"/>
    <d v="1899-12-30T10:38:00"/>
    <x v="1"/>
    <n v="17.75"/>
    <n v="4.7619047620000003"/>
    <n v="0.88749999999999996"/>
    <n v="8.6"/>
  </r>
  <r>
    <s v="189-55-2313"/>
    <x v="1"/>
    <x v="1"/>
    <s v="Normal"/>
    <x v="0"/>
    <x v="5"/>
    <n v="62.18"/>
    <n v="10"/>
    <n v="31.09"/>
    <n v="652.89"/>
    <x v="82"/>
    <d v="1899-12-30T10:33:00"/>
    <x v="0"/>
    <n v="621.79999999999995"/>
    <n v="4.7619047620000003"/>
    <n v="31.09"/>
    <n v="6"/>
  </r>
  <r>
    <s v="565-91-4567"/>
    <x v="2"/>
    <x v="2"/>
    <s v="Normal"/>
    <x v="1"/>
    <x v="0"/>
    <n v="10.75"/>
    <n v="8"/>
    <n v="4.3"/>
    <n v="90.3"/>
    <x v="20"/>
    <d v="1899-12-30T14:38:00"/>
    <x v="0"/>
    <n v="86"/>
    <n v="4.7619047620000003"/>
    <n v="4.3"/>
    <n v="6.2"/>
  </r>
  <r>
    <s v="380-60-5336"/>
    <x v="0"/>
    <x v="0"/>
    <s v="Normal"/>
    <x v="0"/>
    <x v="1"/>
    <n v="40.26"/>
    <n v="10"/>
    <n v="20.13"/>
    <n v="422.73"/>
    <x v="7"/>
    <d v="1899-12-30T18:06:00"/>
    <x v="2"/>
    <n v="402.6"/>
    <n v="4.7619047620000003"/>
    <n v="20.13"/>
    <n v="5"/>
  </r>
  <r>
    <s v="815-04-6282"/>
    <x v="1"/>
    <x v="1"/>
    <s v="Member"/>
    <x v="0"/>
    <x v="3"/>
    <n v="64.97"/>
    <n v="5"/>
    <n v="16.2425"/>
    <n v="341.09249999999997"/>
    <x v="4"/>
    <d v="1899-12-30T12:52:00"/>
    <x v="2"/>
    <n v="324.85000000000002"/>
    <n v="4.7619047620000003"/>
    <n v="16.2425"/>
    <n v="6.5"/>
  </r>
  <r>
    <s v="674-56-6360"/>
    <x v="0"/>
    <x v="0"/>
    <s v="Normal"/>
    <x v="1"/>
    <x v="1"/>
    <n v="95.15"/>
    <n v="1"/>
    <n v="4.7575000000000003"/>
    <n v="99.907499999999999"/>
    <x v="23"/>
    <d v="1899-12-30T14:00:00"/>
    <x v="1"/>
    <n v="95.15"/>
    <n v="4.7619047620000003"/>
    <n v="4.7575000000000003"/>
    <n v="6"/>
  </r>
  <r>
    <s v="778-34-2523"/>
    <x v="0"/>
    <x v="0"/>
    <s v="Member"/>
    <x v="0"/>
    <x v="1"/>
    <n v="48.62"/>
    <n v="8"/>
    <n v="19.448"/>
    <n v="408.40800000000002"/>
    <x v="46"/>
    <d v="1899-12-30T10:57:00"/>
    <x v="1"/>
    <n v="388.96"/>
    <n v="4.7619047620000003"/>
    <n v="19.448"/>
    <n v="5"/>
  </r>
  <r>
    <s v="499-27-7781"/>
    <x v="2"/>
    <x v="2"/>
    <s v="Normal"/>
    <x v="0"/>
    <x v="4"/>
    <n v="53.21"/>
    <n v="8"/>
    <n v="21.283999999999999"/>
    <n v="446.964"/>
    <x v="86"/>
    <d v="1899-12-30T16:45:00"/>
    <x v="0"/>
    <n v="425.68"/>
    <n v="4.7619047620000003"/>
    <n v="21.283999999999999"/>
    <n v="5"/>
  </r>
  <r>
    <s v="477-59-2456"/>
    <x v="1"/>
    <x v="1"/>
    <s v="Normal"/>
    <x v="0"/>
    <x v="5"/>
    <n v="45.44"/>
    <n v="7"/>
    <n v="15.904"/>
    <n v="333.98399999999998"/>
    <x v="54"/>
    <d v="1899-12-30T11:15:00"/>
    <x v="1"/>
    <n v="318.08"/>
    <n v="4.7619047620000003"/>
    <n v="15.904"/>
    <n v="9.1999999999999993"/>
  </r>
  <r>
    <s v="832-51-6761"/>
    <x v="0"/>
    <x v="0"/>
    <s v="Normal"/>
    <x v="1"/>
    <x v="4"/>
    <n v="33.880000000000003"/>
    <n v="8"/>
    <n v="13.552"/>
    <n v="284.59199999999998"/>
    <x v="64"/>
    <d v="1899-12-30T20:29:00"/>
    <x v="0"/>
    <n v="271.04000000000002"/>
    <n v="4.7619047620000003"/>
    <n v="13.552"/>
    <n v="9.6"/>
  </r>
  <r>
    <s v="869-11-3082"/>
    <x v="2"/>
    <x v="2"/>
    <s v="Member"/>
    <x v="1"/>
    <x v="0"/>
    <n v="96.16"/>
    <n v="4"/>
    <n v="19.231999999999999"/>
    <n v="403.87200000000001"/>
    <x v="3"/>
    <d v="1899-12-30T20:03:00"/>
    <x v="2"/>
    <n v="384.64"/>
    <n v="4.7619047620000003"/>
    <n v="19.231999999999999"/>
    <n v="8.4"/>
  </r>
  <r>
    <s v="190-59-3964"/>
    <x v="2"/>
    <x v="2"/>
    <s v="Member"/>
    <x v="1"/>
    <x v="4"/>
    <n v="47.16"/>
    <n v="5"/>
    <n v="11.79"/>
    <n v="247.59"/>
    <x v="36"/>
    <d v="1899-12-30T14:35:00"/>
    <x v="2"/>
    <n v="235.8"/>
    <n v="4.7619047620000003"/>
    <n v="11.79"/>
    <n v="6"/>
  </r>
  <r>
    <s v="366-43-6862"/>
    <x v="2"/>
    <x v="2"/>
    <s v="Normal"/>
    <x v="1"/>
    <x v="1"/>
    <n v="52.89"/>
    <n v="4"/>
    <n v="10.577999999999999"/>
    <n v="222.13800000000001"/>
    <x v="5"/>
    <d v="1899-12-30T16:32:00"/>
    <x v="0"/>
    <n v="211.56"/>
    <n v="4.7619047620000003"/>
    <n v="10.577999999999999"/>
    <n v="6.7"/>
  </r>
  <r>
    <s v="186-43-8965"/>
    <x v="0"/>
    <x v="0"/>
    <s v="Member"/>
    <x v="0"/>
    <x v="2"/>
    <n v="47.68"/>
    <n v="2"/>
    <n v="4.7679999999999998"/>
    <n v="100.128"/>
    <x v="7"/>
    <d v="1899-12-30T10:10:00"/>
    <x v="2"/>
    <n v="95.36"/>
    <n v="4.7619047620000003"/>
    <n v="4.7679999999999998"/>
    <n v="4.0999999999999996"/>
  </r>
  <r>
    <s v="784-21-9238"/>
    <x v="1"/>
    <x v="1"/>
    <s v="Member"/>
    <x v="1"/>
    <x v="3"/>
    <n v="10.17"/>
    <n v="1"/>
    <n v="0.50849999999999995"/>
    <n v="10.6785"/>
    <x v="13"/>
    <d v="1899-12-30T14:15:00"/>
    <x v="1"/>
    <n v="10.17"/>
    <n v="4.7619047620000003"/>
    <n v="0.50849999999999995"/>
    <n v="5.9"/>
  </r>
  <r>
    <s v="276-75-6884"/>
    <x v="0"/>
    <x v="0"/>
    <s v="Normal"/>
    <x v="0"/>
    <x v="0"/>
    <n v="68.709999999999994"/>
    <n v="3"/>
    <n v="10.3065"/>
    <n v="216.4365"/>
    <x v="31"/>
    <d v="1899-12-30T10:05:00"/>
    <x v="1"/>
    <n v="206.13"/>
    <n v="4.7619047620000003"/>
    <n v="10.3065"/>
    <n v="8.6999999999999993"/>
  </r>
  <r>
    <s v="109-86-4363"/>
    <x v="2"/>
    <x v="2"/>
    <s v="Member"/>
    <x v="0"/>
    <x v="3"/>
    <n v="60.08"/>
    <n v="7"/>
    <n v="21.027999999999999"/>
    <n v="441.58800000000002"/>
    <x v="44"/>
    <d v="1899-12-30T11:36:00"/>
    <x v="2"/>
    <n v="420.56"/>
    <n v="4.7619047620000003"/>
    <n v="21.027999999999999"/>
    <n v="4.5"/>
  </r>
  <r>
    <s v="569-76-2760"/>
    <x v="0"/>
    <x v="0"/>
    <s v="Member"/>
    <x v="0"/>
    <x v="3"/>
    <n v="22.01"/>
    <n v="4"/>
    <n v="4.4020000000000001"/>
    <n v="92.441999999999993"/>
    <x v="71"/>
    <d v="1899-12-30T18:15:00"/>
    <x v="2"/>
    <n v="88.04"/>
    <n v="4.7619047620000003"/>
    <n v="4.4020000000000001"/>
    <n v="6.6"/>
  </r>
  <r>
    <s v="222-42-0244"/>
    <x v="2"/>
    <x v="2"/>
    <s v="Member"/>
    <x v="0"/>
    <x v="0"/>
    <n v="72.11"/>
    <n v="9"/>
    <n v="32.4495"/>
    <n v="681.43949999999995"/>
    <x v="26"/>
    <d v="1899-12-30T13:53:00"/>
    <x v="2"/>
    <n v="648.99"/>
    <n v="4.7619047620000003"/>
    <n v="32.4495"/>
    <n v="7.7"/>
  </r>
  <r>
    <s v="760-53-9233"/>
    <x v="0"/>
    <x v="0"/>
    <s v="Member"/>
    <x v="1"/>
    <x v="5"/>
    <n v="41.28"/>
    <n v="3"/>
    <n v="6.1920000000000002"/>
    <n v="130.03200000000001"/>
    <x v="58"/>
    <d v="1899-12-30T18:37:00"/>
    <x v="2"/>
    <n v="123.84"/>
    <n v="4.7619047620000003"/>
    <n v="6.1920000000000002"/>
    <n v="8.5"/>
  </r>
  <r>
    <s v="538-22-0304"/>
    <x v="1"/>
    <x v="1"/>
    <s v="Normal"/>
    <x v="1"/>
    <x v="1"/>
    <n v="64.95"/>
    <n v="10"/>
    <n v="32.475000000000001"/>
    <n v="681.97500000000002"/>
    <x v="62"/>
    <d v="1899-12-30T18:27:00"/>
    <x v="1"/>
    <n v="649.5"/>
    <n v="4.7619047620000003"/>
    <n v="32.475000000000001"/>
    <n v="5.2"/>
  </r>
  <r>
    <s v="416-17-9926"/>
    <x v="0"/>
    <x v="0"/>
    <s v="Member"/>
    <x v="0"/>
    <x v="1"/>
    <n v="74.22"/>
    <n v="10"/>
    <n v="37.11"/>
    <n v="779.31"/>
    <x v="17"/>
    <d v="1899-12-30T14:42:00"/>
    <x v="2"/>
    <n v="742.2"/>
    <n v="4.7619047620000003"/>
    <n v="37.11"/>
    <n v="4.3"/>
  </r>
  <r>
    <s v="237-44-6163"/>
    <x v="0"/>
    <x v="0"/>
    <s v="Normal"/>
    <x v="1"/>
    <x v="1"/>
    <n v="10.56"/>
    <n v="8"/>
    <n v="4.2240000000000002"/>
    <n v="88.703999999999994"/>
    <x v="46"/>
    <d v="1899-12-30T17:43:00"/>
    <x v="1"/>
    <n v="84.48"/>
    <n v="4.7619047620000003"/>
    <n v="4.2240000000000002"/>
    <n v="7.6"/>
  </r>
  <r>
    <s v="636-17-0325"/>
    <x v="2"/>
    <x v="2"/>
    <s v="Normal"/>
    <x v="1"/>
    <x v="0"/>
    <n v="62.57"/>
    <n v="4"/>
    <n v="12.513999999999999"/>
    <n v="262.79399999999998"/>
    <x v="6"/>
    <d v="1899-12-30T18:37:00"/>
    <x v="1"/>
    <n v="250.28"/>
    <n v="4.7619047620000003"/>
    <n v="12.513999999999999"/>
    <n v="9.5"/>
  </r>
  <r>
    <s v="343-75-9322"/>
    <x v="2"/>
    <x v="2"/>
    <s v="Member"/>
    <x v="0"/>
    <x v="3"/>
    <n v="11.85"/>
    <n v="8"/>
    <n v="4.74"/>
    <n v="99.54"/>
    <x v="51"/>
    <d v="1899-12-30T16:34:00"/>
    <x v="1"/>
    <n v="94.8"/>
    <n v="4.7619047620000003"/>
    <n v="4.74"/>
    <n v="4.0999999999999996"/>
  </r>
  <r>
    <s v="528-14-9470"/>
    <x v="0"/>
    <x v="0"/>
    <s v="Member"/>
    <x v="1"/>
    <x v="0"/>
    <n v="91.3"/>
    <n v="1"/>
    <n v="4.5650000000000004"/>
    <n v="95.864999999999995"/>
    <x v="44"/>
    <d v="1899-12-30T14:42:00"/>
    <x v="0"/>
    <n v="91.3"/>
    <n v="4.7619047620000003"/>
    <n v="4.5650000000000004"/>
    <n v="9.1999999999999993"/>
  </r>
  <r>
    <s v="427-45-9297"/>
    <x v="2"/>
    <x v="2"/>
    <s v="Member"/>
    <x v="0"/>
    <x v="2"/>
    <n v="40.729999999999997"/>
    <n v="7"/>
    <n v="14.2555"/>
    <n v="299.3655"/>
    <x v="41"/>
    <d v="1899-12-30T11:01:00"/>
    <x v="0"/>
    <n v="285.11"/>
    <n v="4.7619047620000003"/>
    <n v="14.2555"/>
    <n v="5.4"/>
  </r>
  <r>
    <s v="807-34-3742"/>
    <x v="0"/>
    <x v="0"/>
    <s v="Normal"/>
    <x v="1"/>
    <x v="5"/>
    <n v="52.38"/>
    <n v="1"/>
    <n v="2.6190000000000002"/>
    <n v="54.999000000000002"/>
    <x v="58"/>
    <d v="1899-12-30T19:44:00"/>
    <x v="1"/>
    <n v="52.38"/>
    <n v="4.7619047620000003"/>
    <n v="2.6190000000000002"/>
    <n v="5.8"/>
  </r>
  <r>
    <s v="288-62-1085"/>
    <x v="0"/>
    <x v="0"/>
    <s v="Member"/>
    <x v="1"/>
    <x v="5"/>
    <n v="38.54"/>
    <n v="5"/>
    <n v="9.6349999999999998"/>
    <n v="202.33500000000001"/>
    <x v="51"/>
    <d v="1899-12-30T13:34:00"/>
    <x v="0"/>
    <n v="192.7"/>
    <n v="4.7619047620000003"/>
    <n v="9.6349999999999998"/>
    <n v="5.6"/>
  </r>
  <r>
    <s v="670-71-7306"/>
    <x v="2"/>
    <x v="2"/>
    <s v="Normal"/>
    <x v="1"/>
    <x v="3"/>
    <n v="44.63"/>
    <n v="6"/>
    <n v="13.388999999999999"/>
    <n v="281.16899999999998"/>
    <x v="56"/>
    <d v="1899-12-30T20:08:00"/>
    <x v="2"/>
    <n v="267.77999999999997"/>
    <n v="4.7619047620000003"/>
    <n v="13.388999999999999"/>
    <n v="5.0999999999999996"/>
  </r>
  <r>
    <s v="660-29-7083"/>
    <x v="1"/>
    <x v="1"/>
    <s v="Normal"/>
    <x v="1"/>
    <x v="1"/>
    <n v="55.87"/>
    <n v="10"/>
    <n v="27.934999999999999"/>
    <n v="586.63499999999999"/>
    <x v="15"/>
    <d v="1899-12-30T15:01:00"/>
    <x v="1"/>
    <n v="558.70000000000005"/>
    <n v="4.7619047620000003"/>
    <n v="27.934999999999999"/>
    <n v="5.8"/>
  </r>
  <r>
    <s v="271-77-8740"/>
    <x v="1"/>
    <x v="1"/>
    <s v="Member"/>
    <x v="0"/>
    <x v="3"/>
    <n v="29.22"/>
    <n v="6"/>
    <n v="8.766"/>
    <n v="184.08600000000001"/>
    <x v="17"/>
    <d v="1899-12-30T11:40:00"/>
    <x v="0"/>
    <n v="175.32"/>
    <n v="4.7619047620000003"/>
    <n v="8.766"/>
    <n v="5"/>
  </r>
  <r>
    <s v="497-36-0989"/>
    <x v="0"/>
    <x v="0"/>
    <s v="Normal"/>
    <x v="1"/>
    <x v="5"/>
    <n v="51.94"/>
    <n v="3"/>
    <n v="7.7910000000000004"/>
    <n v="163.61099999999999"/>
    <x v="42"/>
    <d v="1899-12-30T15:21:00"/>
    <x v="1"/>
    <n v="155.82"/>
    <n v="4.7619047620000003"/>
    <n v="7.7910000000000004"/>
    <n v="7.9"/>
  </r>
  <r>
    <s v="291-59-1384"/>
    <x v="2"/>
    <x v="2"/>
    <s v="Normal"/>
    <x v="1"/>
    <x v="1"/>
    <n v="60.3"/>
    <n v="1"/>
    <n v="3.0150000000000001"/>
    <n v="63.314999999999998"/>
    <x v="38"/>
    <d v="1899-12-30T17:38:00"/>
    <x v="1"/>
    <n v="60.3"/>
    <n v="4.7619047620000003"/>
    <n v="3.0150000000000001"/>
    <n v="6"/>
  </r>
  <r>
    <s v="860-73-6466"/>
    <x v="0"/>
    <x v="0"/>
    <s v="Member"/>
    <x v="0"/>
    <x v="3"/>
    <n v="39.47"/>
    <n v="2"/>
    <n v="3.9470000000000001"/>
    <n v="82.887"/>
    <x v="22"/>
    <d v="1899-12-30T16:16:00"/>
    <x v="2"/>
    <n v="78.94"/>
    <n v="4.7619047620000003"/>
    <n v="3.9470000000000001"/>
    <n v="5"/>
  </r>
  <r>
    <s v="549-23-9016"/>
    <x v="1"/>
    <x v="1"/>
    <s v="Member"/>
    <x v="0"/>
    <x v="4"/>
    <n v="14.87"/>
    <n v="2"/>
    <n v="1.4870000000000001"/>
    <n v="31.227"/>
    <x v="77"/>
    <d v="1899-12-30T18:15:00"/>
    <x v="2"/>
    <n v="29.74"/>
    <n v="4.7619047620000003"/>
    <n v="1.4870000000000001"/>
    <n v="8.9"/>
  </r>
  <r>
    <s v="896-34-0956"/>
    <x v="0"/>
    <x v="0"/>
    <s v="Normal"/>
    <x v="1"/>
    <x v="5"/>
    <n v="21.32"/>
    <n v="1"/>
    <n v="1.0660000000000001"/>
    <n v="22.385999999999999"/>
    <x v="53"/>
    <d v="1899-12-30T12:43:00"/>
    <x v="1"/>
    <n v="21.32"/>
    <n v="4.7619047620000003"/>
    <n v="1.0660000000000001"/>
    <n v="5.9"/>
  </r>
  <r>
    <s v="804-38-3935"/>
    <x v="0"/>
    <x v="0"/>
    <s v="Member"/>
    <x v="1"/>
    <x v="1"/>
    <n v="93.78"/>
    <n v="3"/>
    <n v="14.067"/>
    <n v="295.40699999999998"/>
    <x v="74"/>
    <d v="1899-12-30T11:32:00"/>
    <x v="2"/>
    <n v="281.33999999999997"/>
    <n v="4.7619047620000003"/>
    <n v="14.067"/>
    <n v="5.9"/>
  </r>
  <r>
    <s v="585-90-0249"/>
    <x v="0"/>
    <x v="0"/>
    <s v="Member"/>
    <x v="1"/>
    <x v="1"/>
    <n v="73.260000000000005"/>
    <n v="1"/>
    <n v="3.6629999999999998"/>
    <n v="76.923000000000002"/>
    <x v="3"/>
    <d v="1899-12-30T18:08:00"/>
    <x v="0"/>
    <n v="73.260000000000005"/>
    <n v="4.7619047620000003"/>
    <n v="3.6629999999999998"/>
    <n v="9.6999999999999993"/>
  </r>
  <r>
    <s v="862-29-5914"/>
    <x v="1"/>
    <x v="1"/>
    <s v="Normal"/>
    <x v="0"/>
    <x v="3"/>
    <n v="22.38"/>
    <n v="1"/>
    <n v="1.119"/>
    <n v="23.498999999999999"/>
    <x v="74"/>
    <d v="1899-12-30T17:08:00"/>
    <x v="2"/>
    <n v="22.38"/>
    <n v="4.7619047620000003"/>
    <n v="1.119"/>
    <n v="8.6"/>
  </r>
  <r>
    <s v="845-94-6841"/>
    <x v="1"/>
    <x v="1"/>
    <s v="Member"/>
    <x v="0"/>
    <x v="4"/>
    <n v="72.88"/>
    <n v="9"/>
    <n v="32.795999999999999"/>
    <n v="688.71600000000001"/>
    <x v="66"/>
    <d v="1899-12-30T19:38:00"/>
    <x v="1"/>
    <n v="655.92"/>
    <n v="4.7619047620000003"/>
    <n v="32.795999999999999"/>
    <n v="4"/>
  </r>
  <r>
    <s v="125-45-2293"/>
    <x v="0"/>
    <x v="0"/>
    <s v="Normal"/>
    <x v="0"/>
    <x v="5"/>
    <n v="99.1"/>
    <n v="6"/>
    <n v="29.73"/>
    <n v="624.33000000000004"/>
    <x v="64"/>
    <d v="1899-12-30T13:11:00"/>
    <x v="1"/>
    <n v="594.6"/>
    <n v="4.7619047620000003"/>
    <n v="29.73"/>
    <n v="4.2"/>
  </r>
  <r>
    <s v="843-73-4724"/>
    <x v="0"/>
    <x v="0"/>
    <s v="Normal"/>
    <x v="1"/>
    <x v="5"/>
    <n v="74.099999999999994"/>
    <n v="1"/>
    <n v="3.7050000000000001"/>
    <n v="77.805000000000007"/>
    <x v="25"/>
    <d v="1899-12-30T11:05:00"/>
    <x v="1"/>
    <n v="74.099999999999994"/>
    <n v="4.7619047620000003"/>
    <n v="3.7050000000000001"/>
    <n v="9.1999999999999993"/>
  </r>
  <r>
    <s v="409-33-9708"/>
    <x v="0"/>
    <x v="0"/>
    <s v="Normal"/>
    <x v="0"/>
    <x v="5"/>
    <n v="98.48"/>
    <n v="2"/>
    <n v="9.8480000000000008"/>
    <n v="206.80799999999999"/>
    <x v="88"/>
    <d v="1899-12-30T10:12:00"/>
    <x v="0"/>
    <n v="196.96"/>
    <n v="4.7619047620000003"/>
    <n v="9.8480000000000008"/>
    <n v="9.1999999999999993"/>
  </r>
  <r>
    <s v="658-66-3967"/>
    <x v="1"/>
    <x v="1"/>
    <s v="Normal"/>
    <x v="1"/>
    <x v="0"/>
    <n v="53.19"/>
    <n v="7"/>
    <n v="18.616499999999998"/>
    <n v="390.94650000000001"/>
    <x v="78"/>
    <d v="1899-12-30T15:42:00"/>
    <x v="0"/>
    <n v="372.33"/>
    <n v="4.7619047620000003"/>
    <n v="18.616499999999998"/>
    <n v="5"/>
  </r>
  <r>
    <s v="866-70-2814"/>
    <x v="2"/>
    <x v="2"/>
    <s v="Normal"/>
    <x v="0"/>
    <x v="1"/>
    <n v="52.79"/>
    <n v="10"/>
    <n v="26.395"/>
    <n v="554.29499999999996"/>
    <x v="6"/>
    <d v="1899-12-30T11:58:00"/>
    <x v="0"/>
    <n v="527.9"/>
    <n v="4.7619047620000003"/>
    <n v="26.395"/>
    <n v="10"/>
  </r>
  <r>
    <s v="160-22-2687"/>
    <x v="0"/>
    <x v="0"/>
    <s v="Member"/>
    <x v="0"/>
    <x v="0"/>
    <n v="95.95"/>
    <n v="5"/>
    <n v="23.987500000000001"/>
    <n v="503.73750000000001"/>
    <x v="54"/>
    <d v="1899-12-30T14:21:00"/>
    <x v="0"/>
    <n v="479.75"/>
    <n v="4.7619047620000003"/>
    <n v="23.987500000000001"/>
    <n v="8.8000000000000007"/>
  </r>
  <r>
    <s v="895-03-6665"/>
    <x v="2"/>
    <x v="2"/>
    <s v="Normal"/>
    <x v="0"/>
    <x v="5"/>
    <n v="36.51"/>
    <n v="9"/>
    <n v="16.429500000000001"/>
    <n v="345.01949999999999"/>
    <x v="69"/>
    <d v="1899-12-30T10:52:00"/>
    <x v="1"/>
    <n v="328.59"/>
    <n v="4.7619047620000003"/>
    <n v="16.429500000000001"/>
    <n v="4.2"/>
  </r>
  <r>
    <s v="770-42-8960"/>
    <x v="2"/>
    <x v="2"/>
    <s v="Normal"/>
    <x v="1"/>
    <x v="4"/>
    <n v="21.12"/>
    <n v="8"/>
    <n v="8.4480000000000004"/>
    <n v="177.40799999999999"/>
    <x v="17"/>
    <d v="1899-12-30T19:31:00"/>
    <x v="1"/>
    <n v="168.96"/>
    <n v="4.7619047620000003"/>
    <n v="8.4480000000000004"/>
    <n v="6.3"/>
  </r>
  <r>
    <s v="748-45-2862"/>
    <x v="0"/>
    <x v="0"/>
    <s v="Member"/>
    <x v="0"/>
    <x v="2"/>
    <n v="28.31"/>
    <n v="4"/>
    <n v="5.6619999999999999"/>
    <n v="118.902"/>
    <x v="37"/>
    <d v="1899-12-30T18:35:00"/>
    <x v="1"/>
    <n v="113.24"/>
    <n v="4.7619047620000003"/>
    <n v="5.6619999999999999"/>
    <n v="8.1999999999999993"/>
  </r>
  <r>
    <s v="234-36-2483"/>
    <x v="2"/>
    <x v="2"/>
    <s v="Normal"/>
    <x v="1"/>
    <x v="0"/>
    <n v="57.59"/>
    <n v="6"/>
    <n v="17.277000000000001"/>
    <n v="362.81700000000001"/>
    <x v="42"/>
    <d v="1899-12-30T13:51:00"/>
    <x v="1"/>
    <n v="345.54"/>
    <n v="4.7619047620000003"/>
    <n v="17.277000000000001"/>
    <n v="5.0999999999999996"/>
  </r>
  <r>
    <s v="316-66-3011"/>
    <x v="0"/>
    <x v="0"/>
    <s v="Member"/>
    <x v="0"/>
    <x v="4"/>
    <n v="47.63"/>
    <n v="9"/>
    <n v="21.433499999999999"/>
    <n v="450.1035"/>
    <x v="54"/>
    <d v="1899-12-30T12:35:00"/>
    <x v="1"/>
    <n v="428.67"/>
    <n v="4.7619047620000003"/>
    <n v="21.433499999999999"/>
    <n v="5"/>
  </r>
  <r>
    <s v="848-95-6252"/>
    <x v="1"/>
    <x v="1"/>
    <s v="Member"/>
    <x v="0"/>
    <x v="2"/>
    <n v="86.27"/>
    <n v="1"/>
    <n v="4.3135000000000003"/>
    <n v="90.583500000000001"/>
    <x v="9"/>
    <d v="1899-12-30T13:24:00"/>
    <x v="0"/>
    <n v="86.27"/>
    <n v="4.7619047620000003"/>
    <n v="4.3135000000000003"/>
    <n v="7"/>
  </r>
  <r>
    <s v="840-76-5966"/>
    <x v="0"/>
    <x v="0"/>
    <s v="Member"/>
    <x v="1"/>
    <x v="3"/>
    <n v="12.76"/>
    <n v="2"/>
    <n v="1.276"/>
    <n v="26.795999999999999"/>
    <x v="66"/>
    <d v="1899-12-30T18:06:00"/>
    <x v="0"/>
    <n v="25.52"/>
    <n v="4.7619047620000003"/>
    <n v="1.276"/>
    <n v="7.8"/>
  </r>
  <r>
    <s v="152-03-4217"/>
    <x v="2"/>
    <x v="2"/>
    <s v="Normal"/>
    <x v="0"/>
    <x v="2"/>
    <n v="11.28"/>
    <n v="9"/>
    <n v="5.0759999999999996"/>
    <n v="106.596"/>
    <x v="85"/>
    <d v="1899-12-30T11:55:00"/>
    <x v="2"/>
    <n v="101.52"/>
    <n v="4.7619047620000003"/>
    <n v="5.0759999999999996"/>
    <n v="4.3"/>
  </r>
  <r>
    <s v="533-66-5566"/>
    <x v="2"/>
    <x v="2"/>
    <s v="Normal"/>
    <x v="0"/>
    <x v="2"/>
    <n v="51.07"/>
    <n v="7"/>
    <n v="17.874500000000001"/>
    <n v="375.36450000000002"/>
    <x v="52"/>
    <d v="1899-12-30T11:42:00"/>
    <x v="1"/>
    <n v="357.49"/>
    <n v="4.7619047620000003"/>
    <n v="17.874500000000001"/>
    <n v="7"/>
  </r>
  <r>
    <s v="124-31-1458"/>
    <x v="0"/>
    <x v="0"/>
    <s v="Member"/>
    <x v="0"/>
    <x v="1"/>
    <n v="79.59"/>
    <n v="3"/>
    <n v="11.938499999999999"/>
    <n v="250.70849999999999"/>
    <x v="66"/>
    <d v="1899-12-30T14:30:00"/>
    <x v="1"/>
    <n v="238.77"/>
    <n v="4.7619047620000003"/>
    <n v="11.938499999999999"/>
    <n v="6.6"/>
  </r>
  <r>
    <s v="176-78-1170"/>
    <x v="1"/>
    <x v="1"/>
    <s v="Member"/>
    <x v="1"/>
    <x v="0"/>
    <n v="33.81"/>
    <n v="3"/>
    <n v="5.0715000000000003"/>
    <n v="106.50149999999999"/>
    <x v="53"/>
    <d v="1899-12-30T15:11:00"/>
    <x v="0"/>
    <n v="101.43"/>
    <n v="4.7619047620000003"/>
    <n v="5.0715000000000003"/>
    <n v="7.3"/>
  </r>
  <r>
    <s v="361-59-0574"/>
    <x v="2"/>
    <x v="2"/>
    <s v="Member"/>
    <x v="1"/>
    <x v="3"/>
    <n v="90.53"/>
    <n v="8"/>
    <n v="36.212000000000003"/>
    <n v="760.452"/>
    <x v="20"/>
    <d v="1899-12-30T14:48:00"/>
    <x v="2"/>
    <n v="724.24"/>
    <n v="4.7619047620000003"/>
    <n v="36.212000000000003"/>
    <n v="6.5"/>
  </r>
  <r>
    <s v="101-81-4070"/>
    <x v="1"/>
    <x v="1"/>
    <s v="Member"/>
    <x v="0"/>
    <x v="0"/>
    <n v="62.82"/>
    <n v="2"/>
    <n v="6.282"/>
    <n v="131.922"/>
    <x v="29"/>
    <d v="1899-12-30T12:36:00"/>
    <x v="0"/>
    <n v="125.64"/>
    <n v="4.7619047620000003"/>
    <n v="6.282"/>
    <n v="4.9000000000000004"/>
  </r>
  <r>
    <s v="631-34-1880"/>
    <x v="1"/>
    <x v="1"/>
    <s v="Member"/>
    <x v="1"/>
    <x v="4"/>
    <n v="24.31"/>
    <n v="3"/>
    <n v="3.6465000000000001"/>
    <n v="76.576499999999996"/>
    <x v="66"/>
    <d v="1899-12-30T19:09:00"/>
    <x v="2"/>
    <n v="72.930000000000007"/>
    <n v="4.7619047620000003"/>
    <n v="3.6465000000000001"/>
    <n v="4.3"/>
  </r>
  <r>
    <s v="852-82-2749"/>
    <x v="0"/>
    <x v="0"/>
    <s v="Normal"/>
    <x v="1"/>
    <x v="3"/>
    <n v="64.59"/>
    <n v="4"/>
    <n v="12.917999999999999"/>
    <n v="271.27800000000002"/>
    <x v="47"/>
    <d v="1899-12-30T13:35:00"/>
    <x v="0"/>
    <n v="258.36"/>
    <n v="4.7619047620000003"/>
    <n v="12.917999999999999"/>
    <n v="9.3000000000000007"/>
  </r>
  <r>
    <s v="873-14-6353"/>
    <x v="0"/>
    <x v="0"/>
    <s v="Member"/>
    <x v="1"/>
    <x v="4"/>
    <n v="24.82"/>
    <n v="7"/>
    <n v="8.6869999999999994"/>
    <n v="182.42699999999999"/>
    <x v="69"/>
    <d v="1899-12-30T10:33:00"/>
    <x v="2"/>
    <n v="173.74"/>
    <n v="4.7619047620000003"/>
    <n v="8.6869999999999994"/>
    <n v="7.1"/>
  </r>
  <r>
    <s v="584-66-4073"/>
    <x v="1"/>
    <x v="1"/>
    <s v="Normal"/>
    <x v="1"/>
    <x v="5"/>
    <n v="56.5"/>
    <n v="1"/>
    <n v="2.8250000000000002"/>
    <n v="59.325000000000003"/>
    <x v="45"/>
    <d v="1899-12-30T15:45:00"/>
    <x v="0"/>
    <n v="56.5"/>
    <n v="4.7619047620000003"/>
    <n v="2.8250000000000002"/>
    <n v="9.6"/>
  </r>
  <r>
    <s v="544-55-9589"/>
    <x v="2"/>
    <x v="2"/>
    <s v="Member"/>
    <x v="0"/>
    <x v="1"/>
    <n v="21.43"/>
    <n v="10"/>
    <n v="10.715"/>
    <n v="225.01499999999999"/>
    <x v="26"/>
    <d v="1899-12-30T11:51:00"/>
    <x v="1"/>
    <n v="214.3"/>
    <n v="4.7619047620000003"/>
    <n v="10.715"/>
    <n v="6.2"/>
  </r>
  <r>
    <s v="166-19-2553"/>
    <x v="0"/>
    <x v="0"/>
    <s v="Member"/>
    <x v="1"/>
    <x v="3"/>
    <n v="89.06"/>
    <n v="6"/>
    <n v="26.718"/>
    <n v="561.07799999999997"/>
    <x v="68"/>
    <d v="1899-12-30T17:26:00"/>
    <x v="1"/>
    <n v="534.36"/>
    <n v="4.7619047620000003"/>
    <n v="26.718"/>
    <n v="9.9"/>
  </r>
  <r>
    <s v="737-88-5876"/>
    <x v="0"/>
    <x v="0"/>
    <s v="Member"/>
    <x v="1"/>
    <x v="2"/>
    <n v="23.29"/>
    <n v="4"/>
    <n v="4.6580000000000004"/>
    <n v="97.817999999999998"/>
    <x v="35"/>
    <d v="1899-12-30T11:52:00"/>
    <x v="2"/>
    <n v="93.16"/>
    <n v="4.7619047620000003"/>
    <n v="4.6580000000000004"/>
    <n v="5.9"/>
  </r>
  <r>
    <s v="154-87-7367"/>
    <x v="1"/>
    <x v="1"/>
    <s v="Normal"/>
    <x v="1"/>
    <x v="2"/>
    <n v="65.260000000000005"/>
    <n v="8"/>
    <n v="26.103999999999999"/>
    <n v="548.18399999999997"/>
    <x v="20"/>
    <d v="1899-12-30T14:04:00"/>
    <x v="0"/>
    <n v="522.08000000000004"/>
    <n v="4.7619047620000003"/>
    <n v="26.103999999999999"/>
    <n v="6.3"/>
  </r>
  <r>
    <s v="885-56-0389"/>
    <x v="1"/>
    <x v="1"/>
    <s v="Member"/>
    <x v="1"/>
    <x v="5"/>
    <n v="52.35"/>
    <n v="1"/>
    <n v="2.6175000000000002"/>
    <n v="54.967500000000001"/>
    <x v="12"/>
    <d v="1899-12-30T17:49:00"/>
    <x v="1"/>
    <n v="52.35"/>
    <n v="4.7619047620000003"/>
    <n v="2.6175000000000002"/>
    <n v="4"/>
  </r>
  <r>
    <s v="608-05-3804"/>
    <x v="2"/>
    <x v="2"/>
    <s v="Member"/>
    <x v="1"/>
    <x v="1"/>
    <n v="39.75"/>
    <n v="1"/>
    <n v="1.9875"/>
    <n v="41.737499999999997"/>
    <x v="6"/>
    <d v="1899-12-30T20:19:00"/>
    <x v="1"/>
    <n v="39.75"/>
    <n v="4.7619047620000003"/>
    <n v="1.9875"/>
    <n v="6.1"/>
  </r>
  <r>
    <s v="448-61-3783"/>
    <x v="0"/>
    <x v="0"/>
    <s v="Normal"/>
    <x v="0"/>
    <x v="1"/>
    <n v="90.02"/>
    <n v="8"/>
    <n v="36.008000000000003"/>
    <n v="756.16800000000001"/>
    <x v="76"/>
    <d v="1899-12-30T16:08:00"/>
    <x v="2"/>
    <n v="720.16"/>
    <n v="4.7619047620000003"/>
    <n v="36.008000000000003"/>
    <n v="4.5"/>
  </r>
  <r>
    <s v="761-49-0439"/>
    <x v="2"/>
    <x v="2"/>
    <s v="Member"/>
    <x v="0"/>
    <x v="1"/>
    <n v="12.1"/>
    <n v="8"/>
    <n v="4.84"/>
    <n v="101.64"/>
    <x v="64"/>
    <d v="1899-12-30T10:17:00"/>
    <x v="0"/>
    <n v="96.8"/>
    <n v="4.7619047620000003"/>
    <n v="4.84"/>
    <n v="8.6"/>
  </r>
  <r>
    <s v="490-95-0021"/>
    <x v="2"/>
    <x v="2"/>
    <s v="Member"/>
    <x v="0"/>
    <x v="4"/>
    <n v="33.21"/>
    <n v="10"/>
    <n v="16.605"/>
    <n v="348.70499999999998"/>
    <x v="66"/>
    <d v="1899-12-30T14:25:00"/>
    <x v="0"/>
    <n v="332.1"/>
    <n v="4.7619047620000003"/>
    <n v="16.605"/>
    <n v="6"/>
  </r>
  <r>
    <s v="115-38-7388"/>
    <x v="1"/>
    <x v="1"/>
    <s v="Member"/>
    <x v="0"/>
    <x v="5"/>
    <n v="10.18"/>
    <n v="8"/>
    <n v="4.0720000000000001"/>
    <n v="85.512"/>
    <x v="73"/>
    <d v="1899-12-30T12:51:00"/>
    <x v="2"/>
    <n v="81.44"/>
    <n v="4.7619047620000003"/>
    <n v="4.0720000000000001"/>
    <n v="9.5"/>
  </r>
  <r>
    <s v="311-13-6971"/>
    <x v="2"/>
    <x v="2"/>
    <s v="Member"/>
    <x v="1"/>
    <x v="3"/>
    <n v="31.99"/>
    <n v="10"/>
    <n v="15.994999999999999"/>
    <n v="335.89499999999998"/>
    <x v="9"/>
    <d v="1899-12-30T15:18:00"/>
    <x v="2"/>
    <n v="319.89999999999998"/>
    <n v="4.7619047620000003"/>
    <n v="15.994999999999999"/>
    <n v="9.9"/>
  </r>
  <r>
    <s v="291-55-6563"/>
    <x v="0"/>
    <x v="0"/>
    <s v="Member"/>
    <x v="0"/>
    <x v="2"/>
    <n v="34.42"/>
    <n v="6"/>
    <n v="10.326000000000001"/>
    <n v="216.846"/>
    <x v="73"/>
    <d v="1899-12-30T12:45:00"/>
    <x v="0"/>
    <n v="206.52"/>
    <n v="4.7619047620000003"/>
    <n v="10.326000000000001"/>
    <n v="7.5"/>
  </r>
  <r>
    <s v="548-48-3156"/>
    <x v="0"/>
    <x v="0"/>
    <s v="Member"/>
    <x v="0"/>
    <x v="4"/>
    <n v="83.34"/>
    <n v="2"/>
    <n v="8.3339999999999996"/>
    <n v="175.01400000000001"/>
    <x v="35"/>
    <d v="1899-12-30T13:37:00"/>
    <x v="1"/>
    <n v="166.68"/>
    <n v="4.7619047620000003"/>
    <n v="8.3339999999999996"/>
    <n v="7.6"/>
  </r>
  <r>
    <s v="460-93-5834"/>
    <x v="0"/>
    <x v="0"/>
    <s v="Normal"/>
    <x v="1"/>
    <x v="3"/>
    <n v="45.58"/>
    <n v="7"/>
    <n v="15.952999999999999"/>
    <n v="335.01299999999998"/>
    <x v="50"/>
    <d v="1899-12-30T10:03:00"/>
    <x v="1"/>
    <n v="319.06"/>
    <n v="4.7619047620000003"/>
    <n v="15.952999999999999"/>
    <n v="5"/>
  </r>
  <r>
    <s v="325-89-4209"/>
    <x v="0"/>
    <x v="0"/>
    <s v="Member"/>
    <x v="1"/>
    <x v="4"/>
    <n v="87.9"/>
    <n v="1"/>
    <n v="4.3949999999999996"/>
    <n v="92.295000000000002"/>
    <x v="63"/>
    <d v="1899-12-30T19:42:00"/>
    <x v="0"/>
    <n v="87.9"/>
    <n v="4.7619047620000003"/>
    <n v="4.3949999999999996"/>
    <n v="6.7"/>
  </r>
  <r>
    <s v="884-80-6021"/>
    <x v="0"/>
    <x v="0"/>
    <s v="Member"/>
    <x v="0"/>
    <x v="1"/>
    <n v="73.47"/>
    <n v="10"/>
    <n v="36.734999999999999"/>
    <n v="771.43499999999995"/>
    <x v="28"/>
    <d v="1899-12-30T13:14:00"/>
    <x v="0"/>
    <n v="734.7"/>
    <n v="4.7619047620000003"/>
    <n v="36.734999999999999"/>
    <n v="9.5"/>
  </r>
  <r>
    <s v="137-74-8729"/>
    <x v="1"/>
    <x v="1"/>
    <s v="Normal"/>
    <x v="0"/>
    <x v="5"/>
    <n v="12.19"/>
    <n v="8"/>
    <n v="4.8760000000000003"/>
    <n v="102.396"/>
    <x v="45"/>
    <d v="1899-12-30T12:47:00"/>
    <x v="0"/>
    <n v="97.52"/>
    <n v="4.7619047620000003"/>
    <n v="4.8760000000000003"/>
    <n v="6.8"/>
  </r>
  <r>
    <s v="880-46-5796"/>
    <x v="0"/>
    <x v="0"/>
    <s v="Member"/>
    <x v="1"/>
    <x v="3"/>
    <n v="76.92"/>
    <n v="10"/>
    <n v="38.46"/>
    <n v="807.66"/>
    <x v="85"/>
    <d v="1899-12-30T19:53:00"/>
    <x v="0"/>
    <n v="769.2"/>
    <n v="4.7619047620000003"/>
    <n v="38.46"/>
    <n v="5.6"/>
  </r>
  <r>
    <s v="389-70-2397"/>
    <x v="1"/>
    <x v="1"/>
    <s v="Normal"/>
    <x v="0"/>
    <x v="0"/>
    <n v="83.66"/>
    <n v="5"/>
    <n v="20.914999999999999"/>
    <n v="439.21499999999997"/>
    <x v="81"/>
    <d v="1899-12-30T10:26:00"/>
    <x v="1"/>
    <n v="418.3"/>
    <n v="4.7619047620000003"/>
    <n v="20.914999999999999"/>
    <n v="7.2"/>
  </r>
  <r>
    <s v="114-35-5271"/>
    <x v="2"/>
    <x v="2"/>
    <s v="Normal"/>
    <x v="0"/>
    <x v="1"/>
    <n v="57.91"/>
    <n v="8"/>
    <n v="23.164000000000001"/>
    <n v="486.44400000000002"/>
    <x v="13"/>
    <d v="1899-12-30T15:06:00"/>
    <x v="1"/>
    <n v="463.28"/>
    <n v="4.7619047620000003"/>
    <n v="23.164000000000001"/>
    <n v="8.1"/>
  </r>
  <r>
    <s v="607-76-6216"/>
    <x v="1"/>
    <x v="1"/>
    <s v="Member"/>
    <x v="0"/>
    <x v="5"/>
    <n v="92.49"/>
    <n v="5"/>
    <n v="23.122499999999999"/>
    <n v="485.57249999999999"/>
    <x v="22"/>
    <d v="1899-12-30T16:35:00"/>
    <x v="2"/>
    <n v="462.45"/>
    <n v="4.7619047620000003"/>
    <n v="23.122499999999999"/>
    <n v="8.6"/>
  </r>
  <r>
    <s v="715-20-1673"/>
    <x v="2"/>
    <x v="2"/>
    <s v="Normal"/>
    <x v="1"/>
    <x v="1"/>
    <n v="28.38"/>
    <n v="5"/>
    <n v="7.0949999999999998"/>
    <n v="148.995"/>
    <x v="43"/>
    <d v="1899-12-30T20:57:00"/>
    <x v="1"/>
    <n v="141.9"/>
    <n v="4.7619047620000003"/>
    <n v="7.0949999999999998"/>
    <n v="9.4"/>
  </r>
  <r>
    <s v="811-35-1094"/>
    <x v="2"/>
    <x v="2"/>
    <s v="Member"/>
    <x v="1"/>
    <x v="1"/>
    <n v="50.45"/>
    <n v="6"/>
    <n v="15.135"/>
    <n v="317.83499999999998"/>
    <x v="10"/>
    <d v="1899-12-30T15:16:00"/>
    <x v="2"/>
    <n v="302.7"/>
    <n v="4.7619047620000003"/>
    <n v="15.135"/>
    <n v="8.9"/>
  </r>
  <r>
    <s v="699-88-1972"/>
    <x v="2"/>
    <x v="2"/>
    <s v="Normal"/>
    <x v="1"/>
    <x v="0"/>
    <n v="99.16"/>
    <n v="8"/>
    <n v="39.664000000000001"/>
    <n v="832.94399999999996"/>
    <x v="26"/>
    <d v="1899-12-30T17:47:00"/>
    <x v="2"/>
    <n v="793.28"/>
    <n v="4.7619047620000003"/>
    <n v="39.664000000000001"/>
    <n v="4.2"/>
  </r>
  <r>
    <s v="781-84-8059"/>
    <x v="1"/>
    <x v="1"/>
    <s v="Normal"/>
    <x v="1"/>
    <x v="5"/>
    <n v="60.74"/>
    <n v="7"/>
    <n v="21.259"/>
    <n v="446.43900000000002"/>
    <x v="68"/>
    <d v="1899-12-30T16:23:00"/>
    <x v="0"/>
    <n v="425.18"/>
    <n v="4.7619047620000003"/>
    <n v="21.259"/>
    <n v="5"/>
  </r>
  <r>
    <s v="409-49-6995"/>
    <x v="1"/>
    <x v="1"/>
    <s v="Member"/>
    <x v="0"/>
    <x v="4"/>
    <n v="47.27"/>
    <n v="6"/>
    <n v="14.180999999999999"/>
    <n v="297.80099999999999"/>
    <x v="63"/>
    <d v="1899-12-30T10:17:00"/>
    <x v="1"/>
    <n v="283.62"/>
    <n v="4.7619047620000003"/>
    <n v="14.180999999999999"/>
    <n v="8.8000000000000007"/>
  </r>
  <r>
    <s v="725-54-0677"/>
    <x v="1"/>
    <x v="1"/>
    <s v="Member"/>
    <x v="1"/>
    <x v="0"/>
    <n v="85.6"/>
    <n v="7"/>
    <n v="29.96"/>
    <n v="629.16"/>
    <x v="22"/>
    <d v="1899-12-30T13:50:00"/>
    <x v="1"/>
    <n v="599.20000000000005"/>
    <n v="4.7619047620000003"/>
    <n v="29.96"/>
    <n v="5.3"/>
  </r>
  <r>
    <s v="146-09-5432"/>
    <x v="0"/>
    <x v="0"/>
    <s v="Member"/>
    <x v="1"/>
    <x v="4"/>
    <n v="35.04"/>
    <n v="9"/>
    <n v="15.768000000000001"/>
    <n v="331.12799999999999"/>
    <x v="57"/>
    <d v="1899-12-30T19:17:00"/>
    <x v="0"/>
    <n v="315.36"/>
    <n v="4.7619047620000003"/>
    <n v="15.768000000000001"/>
    <n v="4.5999999999999996"/>
  </r>
  <r>
    <s v="377-79-7592"/>
    <x v="1"/>
    <x v="1"/>
    <s v="Member"/>
    <x v="0"/>
    <x v="1"/>
    <n v="44.84"/>
    <n v="9"/>
    <n v="20.178000000000001"/>
    <n v="423.738"/>
    <x v="78"/>
    <d v="1899-12-30T14:00:00"/>
    <x v="2"/>
    <n v="403.56"/>
    <n v="4.7619047620000003"/>
    <n v="20.178000000000001"/>
    <n v="7.5"/>
  </r>
  <r>
    <s v="509-10-0516"/>
    <x v="2"/>
    <x v="2"/>
    <s v="Normal"/>
    <x v="1"/>
    <x v="2"/>
    <n v="45.97"/>
    <n v="4"/>
    <n v="9.1940000000000008"/>
    <n v="193.07400000000001"/>
    <x v="57"/>
    <d v="1899-12-30T12:02:00"/>
    <x v="0"/>
    <n v="183.88"/>
    <n v="4.7619047620000003"/>
    <n v="9.1940000000000008"/>
    <n v="5.0999999999999996"/>
  </r>
  <r>
    <s v="595-94-9924"/>
    <x v="0"/>
    <x v="0"/>
    <s v="Member"/>
    <x v="0"/>
    <x v="0"/>
    <n v="27.73"/>
    <n v="5"/>
    <n v="6.9325000000000001"/>
    <n v="145.58250000000001"/>
    <x v="58"/>
    <d v="1899-12-30T20:21:00"/>
    <x v="2"/>
    <n v="138.65"/>
    <n v="4.7619047620000003"/>
    <n v="6.9325000000000001"/>
    <n v="4.2"/>
  </r>
  <r>
    <s v="865-41-9075"/>
    <x v="0"/>
    <x v="0"/>
    <s v="Normal"/>
    <x v="1"/>
    <x v="4"/>
    <n v="11.53"/>
    <n v="7"/>
    <n v="4.0354999999999999"/>
    <n v="84.745500000000007"/>
    <x v="26"/>
    <d v="1899-12-30T17:35:00"/>
    <x v="1"/>
    <n v="80.709999999999994"/>
    <n v="4.7619047620000003"/>
    <n v="4.0354999999999999"/>
    <n v="8.1"/>
  </r>
  <r>
    <s v="545-07-8534"/>
    <x v="1"/>
    <x v="1"/>
    <s v="Normal"/>
    <x v="0"/>
    <x v="0"/>
    <n v="58.32"/>
    <n v="2"/>
    <n v="5.8319999999999999"/>
    <n v="122.47199999999999"/>
    <x v="44"/>
    <d v="1899-12-30T12:42:00"/>
    <x v="0"/>
    <n v="116.64"/>
    <n v="4.7619047620000003"/>
    <n v="5.8319999999999999"/>
    <n v="6"/>
  </r>
  <r>
    <s v="118-62-1812"/>
    <x v="1"/>
    <x v="1"/>
    <s v="Member"/>
    <x v="0"/>
    <x v="2"/>
    <n v="78.38"/>
    <n v="4"/>
    <n v="15.676"/>
    <n v="329.19600000000003"/>
    <x v="62"/>
    <d v="1899-12-30T17:56:00"/>
    <x v="1"/>
    <n v="313.52"/>
    <n v="4.7619047620000003"/>
    <n v="15.676"/>
    <n v="7.9"/>
  </r>
  <r>
    <s v="450-42-3339"/>
    <x v="1"/>
    <x v="1"/>
    <s v="Normal"/>
    <x v="1"/>
    <x v="0"/>
    <n v="84.61"/>
    <n v="10"/>
    <n v="42.305"/>
    <n v="888.40499999999997"/>
    <x v="57"/>
    <d v="1899-12-30T18:58:00"/>
    <x v="2"/>
    <n v="846.1"/>
    <n v="4.7619047620000003"/>
    <n v="42.305"/>
    <n v="8.8000000000000007"/>
  </r>
  <r>
    <s v="851-98-3555"/>
    <x v="2"/>
    <x v="2"/>
    <s v="Normal"/>
    <x v="0"/>
    <x v="0"/>
    <n v="82.88"/>
    <n v="5"/>
    <n v="20.72"/>
    <n v="435.12"/>
    <x v="62"/>
    <d v="1899-12-30T14:08:00"/>
    <x v="2"/>
    <n v="414.4"/>
    <n v="4.7619047620000003"/>
    <n v="20.72"/>
    <n v="6.6"/>
  </r>
  <r>
    <s v="186-71-5196"/>
    <x v="0"/>
    <x v="0"/>
    <s v="Member"/>
    <x v="0"/>
    <x v="4"/>
    <n v="79.540000000000006"/>
    <n v="2"/>
    <n v="7.9539999999999997"/>
    <n v="167.03399999999999"/>
    <x v="39"/>
    <d v="1899-12-30T16:30:00"/>
    <x v="0"/>
    <n v="159.08000000000001"/>
    <n v="4.7619047620000003"/>
    <n v="7.9539999999999997"/>
    <n v="6.2"/>
  </r>
  <r>
    <s v="624-01-8356"/>
    <x v="2"/>
    <x v="2"/>
    <s v="Normal"/>
    <x v="0"/>
    <x v="2"/>
    <n v="49.01"/>
    <n v="10"/>
    <n v="24.504999999999999"/>
    <n v="514.60500000000002"/>
    <x v="3"/>
    <d v="1899-12-30T10:44:00"/>
    <x v="2"/>
    <n v="490.1"/>
    <n v="4.7619047620000003"/>
    <n v="24.504999999999999"/>
    <n v="4.2"/>
  </r>
  <r>
    <s v="313-66-9943"/>
    <x v="2"/>
    <x v="2"/>
    <s v="Member"/>
    <x v="0"/>
    <x v="4"/>
    <n v="29.15"/>
    <n v="3"/>
    <n v="4.3724999999999996"/>
    <n v="91.822500000000005"/>
    <x v="39"/>
    <d v="1899-12-30T20:29:00"/>
    <x v="2"/>
    <n v="87.45"/>
    <n v="4.7619047620000003"/>
    <n v="4.3724999999999996"/>
    <n v="7.3"/>
  </r>
  <r>
    <s v="151-27-8496"/>
    <x v="1"/>
    <x v="1"/>
    <s v="Normal"/>
    <x v="0"/>
    <x v="1"/>
    <n v="56.13"/>
    <n v="4"/>
    <n v="11.226000000000001"/>
    <n v="235.74600000000001"/>
    <x v="64"/>
    <d v="1899-12-30T11:43:00"/>
    <x v="0"/>
    <n v="224.52"/>
    <n v="4.7619047620000003"/>
    <n v="11.226000000000001"/>
    <n v="8.6"/>
  </r>
  <r>
    <s v="453-33-6436"/>
    <x v="0"/>
    <x v="0"/>
    <s v="Normal"/>
    <x v="0"/>
    <x v="2"/>
    <n v="93.12"/>
    <n v="8"/>
    <n v="37.247999999999998"/>
    <n v="782.20799999999997"/>
    <x v="13"/>
    <d v="1899-12-30T10:09:00"/>
    <x v="1"/>
    <n v="744.96"/>
    <n v="4.7619047620000003"/>
    <n v="37.247999999999998"/>
    <n v="6.8"/>
  </r>
  <r>
    <s v="522-57-8364"/>
    <x v="0"/>
    <x v="0"/>
    <s v="Member"/>
    <x v="1"/>
    <x v="5"/>
    <n v="51.34"/>
    <n v="8"/>
    <n v="20.536000000000001"/>
    <n v="431.25599999999997"/>
    <x v="82"/>
    <d v="1899-12-30T10:00:00"/>
    <x v="0"/>
    <n v="410.72"/>
    <n v="4.7619047620000003"/>
    <n v="20.536000000000001"/>
    <n v="7.6"/>
  </r>
  <r>
    <s v="459-45-2396"/>
    <x v="0"/>
    <x v="0"/>
    <s v="Member"/>
    <x v="0"/>
    <x v="4"/>
    <n v="99.6"/>
    <n v="3"/>
    <n v="14.94"/>
    <n v="313.74"/>
    <x v="6"/>
    <d v="1899-12-30T18:45:00"/>
    <x v="1"/>
    <n v="298.8"/>
    <n v="4.7619047620000003"/>
    <n v="14.94"/>
    <n v="5.8"/>
  </r>
  <r>
    <s v="717-96-4189"/>
    <x v="1"/>
    <x v="1"/>
    <s v="Normal"/>
    <x v="0"/>
    <x v="1"/>
    <n v="35.49"/>
    <n v="6"/>
    <n v="10.647"/>
    <n v="223.58699999999999"/>
    <x v="30"/>
    <d v="1899-12-30T12:40:00"/>
    <x v="1"/>
    <n v="212.94"/>
    <n v="4.7619047620000003"/>
    <n v="10.647"/>
    <n v="4.0999999999999996"/>
  </r>
  <r>
    <s v="722-13-2115"/>
    <x v="1"/>
    <x v="1"/>
    <s v="Member"/>
    <x v="1"/>
    <x v="3"/>
    <n v="42.85"/>
    <n v="1"/>
    <n v="2.1425000000000001"/>
    <n v="44.9925"/>
    <x v="86"/>
    <d v="1899-12-30T15:36:00"/>
    <x v="2"/>
    <n v="42.85"/>
    <n v="4.7619047620000003"/>
    <n v="2.1425000000000001"/>
    <n v="9.3000000000000007"/>
  </r>
  <r>
    <s v="749-81-8133"/>
    <x v="0"/>
    <x v="0"/>
    <s v="Normal"/>
    <x v="0"/>
    <x v="5"/>
    <n v="94.67"/>
    <n v="4"/>
    <n v="18.934000000000001"/>
    <n v="397.61399999999998"/>
    <x v="16"/>
    <d v="1899-12-30T12:04:00"/>
    <x v="1"/>
    <n v="378.68"/>
    <n v="4.7619047620000003"/>
    <n v="18.934000000000001"/>
    <n v="6.8"/>
  </r>
  <r>
    <s v="777-67-2495"/>
    <x v="2"/>
    <x v="2"/>
    <s v="Normal"/>
    <x v="1"/>
    <x v="2"/>
    <n v="68.97"/>
    <n v="3"/>
    <n v="10.345499999999999"/>
    <n v="217.25550000000001"/>
    <x v="70"/>
    <d v="1899-12-30T11:26:00"/>
    <x v="0"/>
    <n v="206.91"/>
    <n v="4.7619047620000003"/>
    <n v="10.345499999999999"/>
    <n v="8.6999999999999993"/>
  </r>
  <r>
    <s v="636-98-3364"/>
    <x v="2"/>
    <x v="2"/>
    <s v="Member"/>
    <x v="0"/>
    <x v="1"/>
    <n v="26.26"/>
    <n v="3"/>
    <n v="3.9390000000000001"/>
    <n v="82.718999999999994"/>
    <x v="22"/>
    <d v="1899-12-30T12:36:00"/>
    <x v="0"/>
    <n v="78.78"/>
    <n v="4.7619047620000003"/>
    <n v="3.9390000000000001"/>
    <n v="6.3"/>
  </r>
  <r>
    <s v="246-55-6923"/>
    <x v="1"/>
    <x v="1"/>
    <s v="Member"/>
    <x v="0"/>
    <x v="2"/>
    <n v="35.79"/>
    <n v="9"/>
    <n v="16.105499999999999"/>
    <n v="338.21550000000002"/>
    <x v="24"/>
    <d v="1899-12-30T15:06:00"/>
    <x v="2"/>
    <n v="322.11"/>
    <n v="4.7619047620000003"/>
    <n v="16.105499999999999"/>
    <n v="5.0999999999999996"/>
  </r>
  <r>
    <s v="181-82-6255"/>
    <x v="2"/>
    <x v="2"/>
    <s v="Normal"/>
    <x v="0"/>
    <x v="2"/>
    <n v="16.37"/>
    <n v="6"/>
    <n v="4.9109999999999996"/>
    <n v="103.131"/>
    <x v="4"/>
    <d v="1899-12-30T10:58:00"/>
    <x v="1"/>
    <n v="98.22"/>
    <n v="4.7619047620000003"/>
    <n v="4.9109999999999996"/>
    <n v="7"/>
  </r>
  <r>
    <s v="838-02-1821"/>
    <x v="1"/>
    <x v="1"/>
    <s v="Member"/>
    <x v="0"/>
    <x v="2"/>
    <n v="12.73"/>
    <n v="2"/>
    <n v="1.2729999999999999"/>
    <n v="26.733000000000001"/>
    <x v="70"/>
    <d v="1899-12-30T12:10:00"/>
    <x v="2"/>
    <n v="25.46"/>
    <n v="4.7619047620000003"/>
    <n v="1.2729999999999999"/>
    <n v="5.2"/>
  </r>
  <r>
    <s v="887-42-0517"/>
    <x v="1"/>
    <x v="1"/>
    <s v="Normal"/>
    <x v="0"/>
    <x v="3"/>
    <n v="83.14"/>
    <n v="7"/>
    <n v="29.099"/>
    <n v="611.07899999999995"/>
    <x v="8"/>
    <d v="1899-12-30T10:31:00"/>
    <x v="2"/>
    <n v="581.98"/>
    <n v="4.7619047620000003"/>
    <n v="29.099"/>
    <n v="6.6"/>
  </r>
  <r>
    <s v="457-12-0244"/>
    <x v="1"/>
    <x v="1"/>
    <s v="Member"/>
    <x v="0"/>
    <x v="3"/>
    <n v="35.22"/>
    <n v="6"/>
    <n v="10.566000000000001"/>
    <n v="221.886"/>
    <x v="86"/>
    <d v="1899-12-30T13:49:00"/>
    <x v="0"/>
    <n v="211.32"/>
    <n v="4.7619047620000003"/>
    <n v="10.566000000000001"/>
    <n v="6.5"/>
  </r>
  <r>
    <s v="226-34-0034"/>
    <x v="2"/>
    <x v="2"/>
    <s v="Normal"/>
    <x v="0"/>
    <x v="1"/>
    <n v="13.78"/>
    <n v="4"/>
    <n v="2.7559999999999998"/>
    <n v="57.875999999999998"/>
    <x v="8"/>
    <d v="1899-12-30T11:10:00"/>
    <x v="0"/>
    <n v="55.12"/>
    <n v="4.7619047620000003"/>
    <n v="2.7559999999999998"/>
    <n v="9"/>
  </r>
  <r>
    <s v="321-49-7382"/>
    <x v="2"/>
    <x v="2"/>
    <s v="Member"/>
    <x v="1"/>
    <x v="3"/>
    <n v="88.31"/>
    <n v="1"/>
    <n v="4.4154999999999998"/>
    <n v="92.725499999999997"/>
    <x v="42"/>
    <d v="1899-12-30T17:38:00"/>
    <x v="2"/>
    <n v="88.31"/>
    <n v="4.7619047620000003"/>
    <n v="4.4154999999999998"/>
    <n v="5.2"/>
  </r>
  <r>
    <s v="397-25-8725"/>
    <x v="0"/>
    <x v="0"/>
    <s v="Member"/>
    <x v="0"/>
    <x v="0"/>
    <n v="39.619999999999997"/>
    <n v="9"/>
    <n v="17.829000000000001"/>
    <n v="374.40899999999999"/>
    <x v="50"/>
    <d v="1899-12-30T17:54:00"/>
    <x v="2"/>
    <n v="356.58"/>
    <n v="4.7619047620000003"/>
    <n v="17.829000000000001"/>
    <n v="6.8"/>
  </r>
  <r>
    <s v="431-66-2305"/>
    <x v="2"/>
    <x v="2"/>
    <s v="Normal"/>
    <x v="0"/>
    <x v="1"/>
    <n v="88.25"/>
    <n v="9"/>
    <n v="39.712499999999999"/>
    <n v="833.96249999999998"/>
    <x v="42"/>
    <d v="1899-12-30T20:51:00"/>
    <x v="2"/>
    <n v="794.25"/>
    <n v="4.7619047620000003"/>
    <n v="39.712499999999999"/>
    <n v="7.6"/>
  </r>
  <r>
    <s v="825-94-5922"/>
    <x v="2"/>
    <x v="2"/>
    <s v="Normal"/>
    <x v="1"/>
    <x v="3"/>
    <n v="25.31"/>
    <n v="2"/>
    <n v="2.5310000000000001"/>
    <n v="53.151000000000003"/>
    <x v="22"/>
    <d v="1899-12-30T19:26:00"/>
    <x v="0"/>
    <n v="50.62"/>
    <n v="4.7619047620000003"/>
    <n v="2.5310000000000001"/>
    <n v="7.2"/>
  </r>
  <r>
    <s v="641-62-7288"/>
    <x v="2"/>
    <x v="2"/>
    <s v="Normal"/>
    <x v="1"/>
    <x v="2"/>
    <n v="99.92"/>
    <n v="6"/>
    <n v="29.975999999999999"/>
    <n v="629.49599999999998"/>
    <x v="62"/>
    <d v="1899-12-30T13:33:00"/>
    <x v="0"/>
    <n v="599.52"/>
    <n v="4.7619047620000003"/>
    <n v="29.975999999999999"/>
    <n v="7.1"/>
  </r>
  <r>
    <s v="756-93-1854"/>
    <x v="1"/>
    <x v="1"/>
    <s v="Member"/>
    <x v="0"/>
    <x v="5"/>
    <n v="83.35"/>
    <n v="2"/>
    <n v="8.3350000000000009"/>
    <n v="175.035"/>
    <x v="30"/>
    <d v="1899-12-30T14:05:00"/>
    <x v="2"/>
    <n v="166.7"/>
    <n v="4.7619047620000003"/>
    <n v="8.3350000000000009"/>
    <n v="9.5"/>
  </r>
  <r>
    <s v="243-55-8457"/>
    <x v="0"/>
    <x v="0"/>
    <s v="Normal"/>
    <x v="0"/>
    <x v="4"/>
    <n v="74.44"/>
    <n v="10"/>
    <n v="37.22"/>
    <n v="781.62"/>
    <x v="33"/>
    <d v="1899-12-30T11:40:00"/>
    <x v="0"/>
    <n v="744.4"/>
    <n v="4.7619047620000003"/>
    <n v="37.22"/>
    <n v="5.0999999999999996"/>
  </r>
  <r>
    <s v="458-10-8612"/>
    <x v="1"/>
    <x v="1"/>
    <s v="Normal"/>
    <x v="1"/>
    <x v="0"/>
    <n v="64.08"/>
    <n v="7"/>
    <n v="22.428000000000001"/>
    <n v="470.988"/>
    <x v="40"/>
    <d v="1899-12-30T12:27:00"/>
    <x v="0"/>
    <n v="448.56"/>
    <n v="4.7619047620000003"/>
    <n v="22.428000000000001"/>
    <n v="7.6"/>
  </r>
  <r>
    <s v="501-61-1753"/>
    <x v="2"/>
    <x v="2"/>
    <s v="Normal"/>
    <x v="0"/>
    <x v="2"/>
    <n v="63.15"/>
    <n v="6"/>
    <n v="18.945"/>
    <n v="397.84500000000003"/>
    <x v="75"/>
    <d v="1899-12-30T20:24:00"/>
    <x v="0"/>
    <n v="378.9"/>
    <n v="4.7619047620000003"/>
    <n v="18.945"/>
    <n v="9.8000000000000007"/>
  </r>
  <r>
    <s v="235-06-8510"/>
    <x v="1"/>
    <x v="1"/>
    <s v="Member"/>
    <x v="1"/>
    <x v="2"/>
    <n v="85.72"/>
    <n v="3"/>
    <n v="12.858000000000001"/>
    <n v="270.01799999999997"/>
    <x v="46"/>
    <d v="1899-12-30T20:59:00"/>
    <x v="0"/>
    <n v="257.16000000000003"/>
    <n v="4.7619047620000003"/>
    <n v="12.858000000000001"/>
    <n v="5.0999999999999996"/>
  </r>
  <r>
    <s v="433-08-7822"/>
    <x v="1"/>
    <x v="1"/>
    <s v="Normal"/>
    <x v="0"/>
    <x v="0"/>
    <n v="78.89"/>
    <n v="7"/>
    <n v="27.611499999999999"/>
    <n v="579.8415"/>
    <x v="0"/>
    <d v="1899-12-30T19:48:00"/>
    <x v="0"/>
    <n v="552.23"/>
    <n v="4.7619047620000003"/>
    <n v="27.611499999999999"/>
    <n v="7.5"/>
  </r>
  <r>
    <s v="361-85-2571"/>
    <x v="0"/>
    <x v="0"/>
    <s v="Normal"/>
    <x v="0"/>
    <x v="3"/>
    <n v="89.48"/>
    <n v="5"/>
    <n v="22.37"/>
    <n v="469.77"/>
    <x v="73"/>
    <d v="1899-12-30T10:18:00"/>
    <x v="1"/>
    <n v="447.4"/>
    <n v="4.7619047620000003"/>
    <n v="22.37"/>
    <n v="7.4"/>
  </r>
  <r>
    <s v="131-70-8179"/>
    <x v="0"/>
    <x v="0"/>
    <s v="Member"/>
    <x v="0"/>
    <x v="0"/>
    <n v="92.09"/>
    <n v="3"/>
    <n v="13.813499999999999"/>
    <n v="290.08350000000002"/>
    <x v="21"/>
    <d v="1899-12-30T16:27:00"/>
    <x v="1"/>
    <n v="276.27"/>
    <n v="4.7619047620000003"/>
    <n v="13.813499999999999"/>
    <n v="4.2"/>
  </r>
  <r>
    <s v="500-02-2261"/>
    <x v="1"/>
    <x v="1"/>
    <s v="Normal"/>
    <x v="0"/>
    <x v="4"/>
    <n v="57.29"/>
    <n v="6"/>
    <n v="17.187000000000001"/>
    <n v="360.92700000000002"/>
    <x v="76"/>
    <d v="1899-12-30T17:04:00"/>
    <x v="0"/>
    <n v="343.74"/>
    <n v="4.7619047620000003"/>
    <n v="17.187000000000001"/>
    <n v="5.9"/>
  </r>
  <r>
    <s v="720-72-2436"/>
    <x v="0"/>
    <x v="0"/>
    <s v="Normal"/>
    <x v="1"/>
    <x v="4"/>
    <n v="66.52"/>
    <n v="4"/>
    <n v="13.304"/>
    <n v="279.38400000000001"/>
    <x v="22"/>
    <d v="1899-12-30T18:14:00"/>
    <x v="0"/>
    <n v="266.08"/>
    <n v="4.7619047620000003"/>
    <n v="13.304"/>
    <n v="6.9"/>
  </r>
  <r>
    <s v="702-83-5291"/>
    <x v="1"/>
    <x v="1"/>
    <s v="Member"/>
    <x v="1"/>
    <x v="5"/>
    <n v="99.82"/>
    <n v="9"/>
    <n v="44.918999999999997"/>
    <n v="943.29899999999998"/>
    <x v="39"/>
    <d v="1899-12-30T10:43:00"/>
    <x v="1"/>
    <n v="898.38"/>
    <n v="4.7619047620000003"/>
    <n v="44.918999999999997"/>
    <n v="6.6"/>
  </r>
  <r>
    <s v="809-69-9497"/>
    <x v="0"/>
    <x v="0"/>
    <s v="Normal"/>
    <x v="0"/>
    <x v="2"/>
    <n v="45.68"/>
    <n v="10"/>
    <n v="22.84"/>
    <n v="479.64"/>
    <x v="64"/>
    <d v="1899-12-30T19:30:00"/>
    <x v="0"/>
    <n v="456.8"/>
    <n v="4.7619047620000003"/>
    <n v="22.84"/>
    <n v="5.7"/>
  </r>
  <r>
    <s v="449-16-6770"/>
    <x v="0"/>
    <x v="0"/>
    <s v="Normal"/>
    <x v="1"/>
    <x v="0"/>
    <n v="50.79"/>
    <n v="5"/>
    <n v="12.6975"/>
    <n v="266.64749999999998"/>
    <x v="88"/>
    <d v="1899-12-30T14:53:00"/>
    <x v="2"/>
    <n v="253.95"/>
    <n v="4.7619047620000003"/>
    <n v="12.6975"/>
    <n v="5.3"/>
  </r>
  <r>
    <s v="333-23-2632"/>
    <x v="0"/>
    <x v="0"/>
    <s v="Member"/>
    <x v="1"/>
    <x v="0"/>
    <n v="10.08"/>
    <n v="7"/>
    <n v="3.528"/>
    <n v="74.087999999999994"/>
    <x v="61"/>
    <d v="1899-12-30T20:14:00"/>
    <x v="1"/>
    <n v="70.56"/>
    <n v="4.7619047620000003"/>
    <n v="3.528"/>
    <n v="4.2"/>
  </r>
  <r>
    <s v="489-82-1237"/>
    <x v="0"/>
    <x v="0"/>
    <s v="Normal"/>
    <x v="0"/>
    <x v="1"/>
    <n v="93.88"/>
    <n v="7"/>
    <n v="32.857999999999997"/>
    <n v="690.01800000000003"/>
    <x v="0"/>
    <d v="1899-12-30T11:51:00"/>
    <x v="2"/>
    <n v="657.16"/>
    <n v="4.7619047620000003"/>
    <n v="32.857999999999997"/>
    <n v="7.3"/>
  </r>
  <r>
    <s v="859-97-6048"/>
    <x v="1"/>
    <x v="1"/>
    <s v="Member"/>
    <x v="1"/>
    <x v="1"/>
    <n v="84.25"/>
    <n v="2"/>
    <n v="8.4250000000000007"/>
    <n v="176.92500000000001"/>
    <x v="58"/>
    <d v="1899-12-30T14:13:00"/>
    <x v="2"/>
    <n v="168.5"/>
    <n v="4.7619047620000003"/>
    <n v="8.4250000000000007"/>
    <n v="5.3"/>
  </r>
  <r>
    <s v="676-10-2200"/>
    <x v="2"/>
    <x v="2"/>
    <s v="Member"/>
    <x v="1"/>
    <x v="5"/>
    <n v="53.78"/>
    <n v="1"/>
    <n v="2.6890000000000001"/>
    <n v="56.469000000000001"/>
    <x v="36"/>
    <d v="1899-12-30T20:13:00"/>
    <x v="0"/>
    <n v="53.78"/>
    <n v="4.7619047620000003"/>
    <n v="2.6890000000000001"/>
    <n v="4.7"/>
  </r>
  <r>
    <s v="373-88-1424"/>
    <x v="1"/>
    <x v="1"/>
    <s v="Member"/>
    <x v="1"/>
    <x v="2"/>
    <n v="35.81"/>
    <n v="5"/>
    <n v="8.9525000000000006"/>
    <n v="188.0025"/>
    <x v="10"/>
    <d v="1899-12-30T18:44:00"/>
    <x v="0"/>
    <n v="179.05"/>
    <n v="4.7619047620000003"/>
    <n v="8.9525000000000006"/>
    <n v="7.9"/>
  </r>
  <r>
    <s v="365-16-4334"/>
    <x v="2"/>
    <x v="2"/>
    <s v="Normal"/>
    <x v="0"/>
    <x v="4"/>
    <n v="26.43"/>
    <n v="8"/>
    <n v="10.571999999999999"/>
    <n v="222.012"/>
    <x v="7"/>
    <d v="1899-12-30T14:26:00"/>
    <x v="0"/>
    <n v="211.44"/>
    <n v="4.7619047620000003"/>
    <n v="10.571999999999999"/>
    <n v="8.9"/>
  </r>
  <r>
    <s v="503-21-4385"/>
    <x v="2"/>
    <x v="2"/>
    <s v="Member"/>
    <x v="1"/>
    <x v="0"/>
    <n v="39.909999999999997"/>
    <n v="3"/>
    <n v="5.9865000000000004"/>
    <n v="125.7165"/>
    <x v="81"/>
    <d v="1899-12-30T12:40:00"/>
    <x v="0"/>
    <n v="119.73"/>
    <n v="4.7619047620000003"/>
    <n v="5.9865000000000004"/>
    <n v="9.3000000000000007"/>
  </r>
  <r>
    <s v="305-89-2768"/>
    <x v="2"/>
    <x v="2"/>
    <s v="Member"/>
    <x v="0"/>
    <x v="2"/>
    <n v="21.9"/>
    <n v="3"/>
    <n v="3.2850000000000001"/>
    <n v="68.984999999999999"/>
    <x v="51"/>
    <d v="1899-12-30T18:43:00"/>
    <x v="0"/>
    <n v="65.7"/>
    <n v="4.7619047620000003"/>
    <n v="3.2850000000000001"/>
    <n v="4.7"/>
  </r>
  <r>
    <s v="574-80-1489"/>
    <x v="2"/>
    <x v="2"/>
    <s v="Member"/>
    <x v="0"/>
    <x v="4"/>
    <n v="62.85"/>
    <n v="4"/>
    <n v="12.57"/>
    <n v="263.97000000000003"/>
    <x v="6"/>
    <d v="1899-12-30T13:22:00"/>
    <x v="0"/>
    <n v="251.4"/>
    <n v="4.7619047620000003"/>
    <n v="12.57"/>
    <n v="8.6999999999999993"/>
  </r>
  <r>
    <s v="784-08-0310"/>
    <x v="1"/>
    <x v="1"/>
    <s v="Member"/>
    <x v="0"/>
    <x v="4"/>
    <n v="21.04"/>
    <n v="4"/>
    <n v="4.2080000000000002"/>
    <n v="88.367999999999995"/>
    <x v="50"/>
    <d v="1899-12-30T13:58:00"/>
    <x v="1"/>
    <n v="84.16"/>
    <n v="4.7619047620000003"/>
    <n v="4.2080000000000002"/>
    <n v="7.6"/>
  </r>
  <r>
    <s v="200-40-6154"/>
    <x v="2"/>
    <x v="2"/>
    <s v="Member"/>
    <x v="1"/>
    <x v="2"/>
    <n v="65.91"/>
    <n v="6"/>
    <n v="19.773"/>
    <n v="415.233"/>
    <x v="57"/>
    <d v="1899-12-30T11:45:00"/>
    <x v="1"/>
    <n v="395.46"/>
    <n v="4.7619047620000003"/>
    <n v="19.773"/>
    <n v="5.7"/>
  </r>
  <r>
    <s v="846-10-0341"/>
    <x v="0"/>
    <x v="0"/>
    <s v="Normal"/>
    <x v="0"/>
    <x v="5"/>
    <n v="42.57"/>
    <n v="7"/>
    <n v="14.8995"/>
    <n v="312.8895"/>
    <x v="47"/>
    <d v="1899-12-30T11:51:00"/>
    <x v="1"/>
    <n v="297.99"/>
    <n v="4.7619047620000003"/>
    <n v="14.8995"/>
    <n v="6.8"/>
  </r>
  <r>
    <s v="577-34-7579"/>
    <x v="1"/>
    <x v="1"/>
    <s v="Member"/>
    <x v="1"/>
    <x v="4"/>
    <n v="50.49"/>
    <n v="9"/>
    <n v="22.720500000000001"/>
    <n v="477.13049999999998"/>
    <x v="8"/>
    <d v="1899-12-30T17:16:00"/>
    <x v="1"/>
    <n v="454.41"/>
    <n v="4.7619047620000003"/>
    <n v="22.720500000000001"/>
    <n v="5.4"/>
  </r>
  <r>
    <s v="430-02-3888"/>
    <x v="2"/>
    <x v="2"/>
    <s v="Normal"/>
    <x v="1"/>
    <x v="1"/>
    <n v="46.02"/>
    <n v="6"/>
    <n v="13.805999999999999"/>
    <n v="289.92599999999999"/>
    <x v="13"/>
    <d v="1899-12-30T15:55:00"/>
    <x v="1"/>
    <n v="276.12"/>
    <n v="4.7619047620000003"/>
    <n v="13.805999999999999"/>
    <n v="7.1"/>
  </r>
  <r>
    <s v="867-47-1948"/>
    <x v="1"/>
    <x v="1"/>
    <s v="Normal"/>
    <x v="0"/>
    <x v="2"/>
    <n v="15.8"/>
    <n v="10"/>
    <n v="7.9"/>
    <n v="165.9"/>
    <x v="51"/>
    <d v="1899-12-30T12:07:00"/>
    <x v="1"/>
    <n v="158"/>
    <n v="4.7619047620000003"/>
    <n v="7.9"/>
    <n v="7.8"/>
  </r>
  <r>
    <s v="384-59-6655"/>
    <x v="0"/>
    <x v="0"/>
    <s v="Member"/>
    <x v="0"/>
    <x v="4"/>
    <n v="98.66"/>
    <n v="9"/>
    <n v="44.396999999999998"/>
    <n v="932.33699999999999"/>
    <x v="88"/>
    <d v="1899-12-30T15:07:00"/>
    <x v="1"/>
    <n v="887.94"/>
    <n v="4.7619047620000003"/>
    <n v="44.396999999999998"/>
    <n v="8.4"/>
  </r>
  <r>
    <s v="256-58-3609"/>
    <x v="1"/>
    <x v="1"/>
    <s v="Member"/>
    <x v="1"/>
    <x v="5"/>
    <n v="91.98"/>
    <n v="1"/>
    <n v="4.5990000000000002"/>
    <n v="96.578999999999994"/>
    <x v="79"/>
    <d v="1899-12-30T15:29:00"/>
    <x v="1"/>
    <n v="91.98"/>
    <n v="4.7619047620000003"/>
    <n v="4.5990000000000002"/>
    <n v="9.8000000000000007"/>
  </r>
  <r>
    <s v="324-92-3863"/>
    <x v="0"/>
    <x v="0"/>
    <s v="Member"/>
    <x v="1"/>
    <x v="1"/>
    <n v="20.89"/>
    <n v="2"/>
    <n v="2.089"/>
    <n v="43.869"/>
    <x v="63"/>
    <d v="1899-12-30T18:45:00"/>
    <x v="1"/>
    <n v="41.78"/>
    <n v="4.7619047620000003"/>
    <n v="2.089"/>
    <n v="9.8000000000000007"/>
  </r>
  <r>
    <s v="593-08-5916"/>
    <x v="0"/>
    <x v="0"/>
    <s v="Normal"/>
    <x v="0"/>
    <x v="5"/>
    <n v="15.5"/>
    <n v="1"/>
    <n v="0.77500000000000002"/>
    <n v="16.274999999999999"/>
    <x v="35"/>
    <d v="1899-12-30T15:23:00"/>
    <x v="2"/>
    <n v="15.5"/>
    <n v="4.7619047620000003"/>
    <n v="0.77500000000000002"/>
    <n v="7.4"/>
  </r>
  <r>
    <s v="364-34-2972"/>
    <x v="1"/>
    <x v="1"/>
    <s v="Member"/>
    <x v="1"/>
    <x v="1"/>
    <n v="96.82"/>
    <n v="3"/>
    <n v="14.523"/>
    <n v="304.983"/>
    <x v="73"/>
    <d v="1899-12-30T20:37:00"/>
    <x v="1"/>
    <n v="290.45999999999998"/>
    <n v="4.7619047620000003"/>
    <n v="14.523"/>
    <n v="6.7"/>
  </r>
  <r>
    <s v="794-42-3736"/>
    <x v="2"/>
    <x v="2"/>
    <s v="Normal"/>
    <x v="1"/>
    <x v="4"/>
    <n v="33.33"/>
    <n v="2"/>
    <n v="3.3330000000000002"/>
    <n v="69.992999999999995"/>
    <x v="53"/>
    <d v="1899-12-30T14:41:00"/>
    <x v="2"/>
    <n v="66.66"/>
    <n v="4.7619047620000003"/>
    <n v="3.3330000000000002"/>
    <n v="6.4"/>
  </r>
  <r>
    <s v="172-42-8274"/>
    <x v="2"/>
    <x v="2"/>
    <s v="Normal"/>
    <x v="0"/>
    <x v="1"/>
    <n v="38.270000000000003"/>
    <n v="2"/>
    <n v="3.827"/>
    <n v="80.367000000000004"/>
    <x v="22"/>
    <d v="1899-12-30T18:18:00"/>
    <x v="2"/>
    <n v="76.540000000000006"/>
    <n v="4.7619047620000003"/>
    <n v="3.827"/>
    <n v="5.8"/>
  </r>
  <r>
    <s v="558-60-5016"/>
    <x v="0"/>
    <x v="0"/>
    <s v="Normal"/>
    <x v="0"/>
    <x v="2"/>
    <n v="33.299999999999997"/>
    <n v="9"/>
    <n v="14.984999999999999"/>
    <n v="314.685"/>
    <x v="31"/>
    <d v="1899-12-30T15:27:00"/>
    <x v="0"/>
    <n v="299.7"/>
    <n v="4.7619047620000003"/>
    <n v="14.984999999999999"/>
    <n v="7.2"/>
  </r>
  <r>
    <s v="195-06-0432"/>
    <x v="0"/>
    <x v="0"/>
    <s v="Member"/>
    <x v="1"/>
    <x v="2"/>
    <n v="81.010000000000005"/>
    <n v="3"/>
    <n v="12.1515"/>
    <n v="255.1815"/>
    <x v="50"/>
    <d v="1899-12-30T12:55:00"/>
    <x v="2"/>
    <n v="243.03"/>
    <n v="4.7619047620000003"/>
    <n v="12.1515"/>
    <n v="9.3000000000000007"/>
  </r>
  <r>
    <s v="605-03-2706"/>
    <x v="0"/>
    <x v="0"/>
    <s v="Normal"/>
    <x v="0"/>
    <x v="0"/>
    <n v="15.8"/>
    <n v="3"/>
    <n v="2.37"/>
    <n v="49.77"/>
    <x v="5"/>
    <d v="1899-12-30T18:02:00"/>
    <x v="1"/>
    <n v="47.4"/>
    <n v="4.7619047620000003"/>
    <n v="2.37"/>
    <n v="9.5"/>
  </r>
  <r>
    <s v="214-30-2776"/>
    <x v="2"/>
    <x v="2"/>
    <s v="Member"/>
    <x v="0"/>
    <x v="1"/>
    <n v="34.49"/>
    <n v="5"/>
    <n v="8.6225000000000005"/>
    <n v="181.07249999999999"/>
    <x v="16"/>
    <d v="1899-12-30T19:44:00"/>
    <x v="2"/>
    <n v="172.45"/>
    <n v="4.7619047620000003"/>
    <n v="8.6225000000000005"/>
    <n v="9"/>
  </r>
  <r>
    <s v="746-04-1077"/>
    <x v="2"/>
    <x v="2"/>
    <s v="Member"/>
    <x v="0"/>
    <x v="4"/>
    <n v="84.63"/>
    <n v="10"/>
    <n v="42.314999999999998"/>
    <n v="888.61500000000001"/>
    <x v="17"/>
    <d v="1899-12-30T11:36:00"/>
    <x v="2"/>
    <n v="846.3"/>
    <n v="4.7619047620000003"/>
    <n v="42.314999999999998"/>
    <n v="9"/>
  </r>
  <r>
    <s v="448-34-8700"/>
    <x v="2"/>
    <x v="2"/>
    <s v="Member"/>
    <x v="1"/>
    <x v="2"/>
    <n v="36.909999999999997"/>
    <n v="7"/>
    <n v="12.9185"/>
    <n v="271.2885"/>
    <x v="34"/>
    <d v="1899-12-30T13:51:00"/>
    <x v="0"/>
    <n v="258.37"/>
    <n v="4.7619047620000003"/>
    <n v="12.9185"/>
    <n v="6.7"/>
  </r>
  <r>
    <s v="452-04-8808"/>
    <x v="2"/>
    <x v="2"/>
    <s v="Normal"/>
    <x v="1"/>
    <x v="1"/>
    <n v="87.08"/>
    <n v="7"/>
    <n v="30.478000000000002"/>
    <n v="640.03800000000001"/>
    <x v="53"/>
    <d v="1899-12-30T15:17:00"/>
    <x v="1"/>
    <n v="609.55999999999995"/>
    <n v="4.7619047620000003"/>
    <n v="30.478000000000002"/>
    <n v="5.5"/>
  </r>
  <r>
    <s v="531-56-4728"/>
    <x v="0"/>
    <x v="0"/>
    <s v="Normal"/>
    <x v="1"/>
    <x v="2"/>
    <n v="80.08"/>
    <n v="3"/>
    <n v="12.012"/>
    <n v="252.25200000000001"/>
    <x v="48"/>
    <d v="1899-12-30T15:29:00"/>
    <x v="1"/>
    <n v="240.24"/>
    <n v="4.7619047620000003"/>
    <n v="12.012"/>
    <n v="5.4"/>
  </r>
  <r>
    <s v="744-82-9138"/>
    <x v="1"/>
    <x v="1"/>
    <s v="Normal"/>
    <x v="1"/>
    <x v="5"/>
    <n v="86.13"/>
    <n v="2"/>
    <n v="8.6129999999999995"/>
    <n v="180.87299999999999"/>
    <x v="13"/>
    <d v="1899-12-30T17:59:00"/>
    <x v="1"/>
    <n v="172.26"/>
    <n v="4.7619047620000003"/>
    <n v="8.6129999999999995"/>
    <n v="8.1999999999999993"/>
  </r>
  <r>
    <s v="883-69-1285"/>
    <x v="2"/>
    <x v="2"/>
    <s v="Member"/>
    <x v="1"/>
    <x v="5"/>
    <n v="49.92"/>
    <n v="2"/>
    <n v="4.992"/>
    <n v="104.83199999999999"/>
    <x v="43"/>
    <d v="1899-12-30T11:55:00"/>
    <x v="2"/>
    <n v="99.84"/>
    <n v="4.7619047620000003"/>
    <n v="4.992"/>
    <n v="7"/>
  </r>
  <r>
    <s v="221-25-5073"/>
    <x v="0"/>
    <x v="0"/>
    <s v="Normal"/>
    <x v="0"/>
    <x v="4"/>
    <n v="74.66"/>
    <n v="4"/>
    <n v="14.932"/>
    <n v="313.572"/>
    <x v="31"/>
    <d v="1899-12-30T10:39:00"/>
    <x v="1"/>
    <n v="298.64"/>
    <n v="4.7619047620000003"/>
    <n v="14.932"/>
    <n v="8.5"/>
  </r>
  <r>
    <s v="518-71-6847"/>
    <x v="2"/>
    <x v="2"/>
    <s v="Member"/>
    <x v="1"/>
    <x v="4"/>
    <n v="26.6"/>
    <n v="6"/>
    <n v="7.98"/>
    <n v="167.58"/>
    <x v="84"/>
    <d v="1899-12-30T15:10:00"/>
    <x v="0"/>
    <n v="159.6"/>
    <n v="4.7619047620000003"/>
    <n v="7.98"/>
    <n v="4.9000000000000004"/>
  </r>
  <r>
    <s v="156-20-0370"/>
    <x v="2"/>
    <x v="2"/>
    <s v="Normal"/>
    <x v="0"/>
    <x v="1"/>
    <n v="25.45"/>
    <n v="1"/>
    <n v="1.2725"/>
    <n v="26.7225"/>
    <x v="24"/>
    <d v="1899-12-30T18:10:00"/>
    <x v="2"/>
    <n v="25.45"/>
    <n v="4.7619047620000003"/>
    <n v="1.2725"/>
    <n v="5.0999999999999996"/>
  </r>
  <r>
    <s v="151-33-7434"/>
    <x v="2"/>
    <x v="2"/>
    <s v="Normal"/>
    <x v="0"/>
    <x v="4"/>
    <n v="67.77"/>
    <n v="1"/>
    <n v="3.3885000000000001"/>
    <n v="71.158500000000004"/>
    <x v="87"/>
    <d v="1899-12-30T20:43:00"/>
    <x v="2"/>
    <n v="67.77"/>
    <n v="4.7619047620000003"/>
    <n v="3.3885000000000001"/>
    <n v="6.5"/>
  </r>
  <r>
    <s v="728-47-9078"/>
    <x v="1"/>
    <x v="1"/>
    <s v="Member"/>
    <x v="1"/>
    <x v="4"/>
    <n v="59.59"/>
    <n v="4"/>
    <n v="11.917999999999999"/>
    <n v="250.27799999999999"/>
    <x v="64"/>
    <d v="1899-12-30T12:46:00"/>
    <x v="1"/>
    <n v="238.36"/>
    <n v="4.7619047620000003"/>
    <n v="11.917999999999999"/>
    <n v="9.8000000000000007"/>
  </r>
  <r>
    <s v="809-46-1866"/>
    <x v="0"/>
    <x v="0"/>
    <s v="Normal"/>
    <x v="1"/>
    <x v="0"/>
    <n v="58.15"/>
    <n v="4"/>
    <n v="11.63"/>
    <n v="244.23"/>
    <x v="54"/>
    <d v="1899-12-30T17:44:00"/>
    <x v="1"/>
    <n v="232.6"/>
    <n v="4.7619047620000003"/>
    <n v="11.63"/>
    <n v="8.4"/>
  </r>
  <r>
    <s v="139-32-4183"/>
    <x v="0"/>
    <x v="0"/>
    <s v="Member"/>
    <x v="0"/>
    <x v="3"/>
    <n v="97.48"/>
    <n v="9"/>
    <n v="43.866"/>
    <n v="921.18600000000004"/>
    <x v="86"/>
    <d v="1899-12-30T14:19:00"/>
    <x v="0"/>
    <n v="877.32"/>
    <n v="4.7619047620000003"/>
    <n v="43.866"/>
    <n v="7.4"/>
  </r>
  <r>
    <s v="148-41-7930"/>
    <x v="1"/>
    <x v="1"/>
    <s v="Normal"/>
    <x v="1"/>
    <x v="0"/>
    <n v="99.96"/>
    <n v="7"/>
    <n v="34.985999999999997"/>
    <n v="734.70600000000002"/>
    <x v="54"/>
    <d v="1899-12-30T10:33:00"/>
    <x v="1"/>
    <n v="699.72"/>
    <n v="4.7619047620000003"/>
    <n v="34.985999999999997"/>
    <n v="6.1"/>
  </r>
  <r>
    <s v="189-40-5216"/>
    <x v="1"/>
    <x v="1"/>
    <s v="Normal"/>
    <x v="1"/>
    <x v="1"/>
    <n v="96.37"/>
    <n v="7"/>
    <n v="33.729500000000002"/>
    <n v="708.31949999999995"/>
    <x v="51"/>
    <d v="1899-12-30T11:40:00"/>
    <x v="1"/>
    <n v="674.59"/>
    <n v="4.7619047620000003"/>
    <n v="33.729500000000002"/>
    <n v="6"/>
  </r>
  <r>
    <s v="374-38-5555"/>
    <x v="2"/>
    <x v="2"/>
    <s v="Normal"/>
    <x v="0"/>
    <x v="5"/>
    <n v="63.71"/>
    <n v="5"/>
    <n v="15.9275"/>
    <n v="334.47750000000002"/>
    <x v="13"/>
    <d v="1899-12-30T19:30:00"/>
    <x v="0"/>
    <n v="318.55"/>
    <n v="4.7619047620000003"/>
    <n v="15.9275"/>
    <n v="8.5"/>
  </r>
  <r>
    <s v="764-44-8999"/>
    <x v="2"/>
    <x v="2"/>
    <s v="Normal"/>
    <x v="0"/>
    <x v="0"/>
    <n v="14.76"/>
    <n v="2"/>
    <n v="1.476"/>
    <n v="30.995999999999999"/>
    <x v="67"/>
    <d v="1899-12-30T14:42:00"/>
    <x v="0"/>
    <n v="29.52"/>
    <n v="4.7619047620000003"/>
    <n v="1.476"/>
    <n v="4.3"/>
  </r>
  <r>
    <s v="552-44-5977"/>
    <x v="2"/>
    <x v="2"/>
    <s v="Member"/>
    <x v="1"/>
    <x v="0"/>
    <n v="62"/>
    <n v="8"/>
    <n v="24.8"/>
    <n v="520.79999999999995"/>
    <x v="75"/>
    <d v="1899-12-30T19:08:00"/>
    <x v="2"/>
    <n v="496"/>
    <n v="4.7619047620000003"/>
    <n v="24.8"/>
    <n v="6.2"/>
  </r>
  <r>
    <s v="267-62-7380"/>
    <x v="1"/>
    <x v="1"/>
    <s v="Member"/>
    <x v="1"/>
    <x v="1"/>
    <n v="82.34"/>
    <n v="10"/>
    <n v="41.17"/>
    <n v="864.57"/>
    <x v="14"/>
    <d v="1899-12-30T19:12:00"/>
    <x v="0"/>
    <n v="823.4"/>
    <n v="4.7619047620000003"/>
    <n v="41.17"/>
    <n v="4.3"/>
  </r>
  <r>
    <s v="430-53-4718"/>
    <x v="2"/>
    <x v="2"/>
    <s v="Member"/>
    <x v="1"/>
    <x v="0"/>
    <n v="75.37"/>
    <n v="8"/>
    <n v="30.148"/>
    <n v="633.10799999999995"/>
    <x v="26"/>
    <d v="1899-12-30T15:46:00"/>
    <x v="2"/>
    <n v="602.96"/>
    <n v="4.7619047620000003"/>
    <n v="30.148"/>
    <n v="8.4"/>
  </r>
  <r>
    <s v="886-18-2897"/>
    <x v="0"/>
    <x v="0"/>
    <s v="Normal"/>
    <x v="0"/>
    <x v="4"/>
    <n v="56.56"/>
    <n v="5"/>
    <n v="14.14"/>
    <n v="296.94"/>
    <x v="23"/>
    <d v="1899-12-30T19:06:00"/>
    <x v="2"/>
    <n v="282.8"/>
    <n v="4.7619047620000003"/>
    <n v="14.14"/>
    <n v="4.5"/>
  </r>
  <r>
    <s v="602-16-6955"/>
    <x v="2"/>
    <x v="2"/>
    <s v="Normal"/>
    <x v="0"/>
    <x v="3"/>
    <n v="76.599999999999994"/>
    <n v="10"/>
    <n v="38.299999999999997"/>
    <n v="804.3"/>
    <x v="46"/>
    <d v="1899-12-30T18:10:00"/>
    <x v="0"/>
    <n v="766"/>
    <n v="4.7619047620000003"/>
    <n v="38.299999999999997"/>
    <n v="6"/>
  </r>
  <r>
    <s v="745-74-0715"/>
    <x v="0"/>
    <x v="0"/>
    <s v="Normal"/>
    <x v="1"/>
    <x v="1"/>
    <n v="58.03"/>
    <n v="2"/>
    <n v="5.8029999999999999"/>
    <n v="121.863"/>
    <x v="24"/>
    <d v="1899-12-30T20:46:00"/>
    <x v="0"/>
    <n v="116.06"/>
    <n v="4.7619047620000003"/>
    <n v="5.8029999999999999"/>
    <n v="8.8000000000000007"/>
  </r>
  <r>
    <s v="690-01-6631"/>
    <x v="2"/>
    <x v="2"/>
    <s v="Normal"/>
    <x v="1"/>
    <x v="5"/>
    <n v="17.489999999999998"/>
    <n v="10"/>
    <n v="8.7449999999999992"/>
    <n v="183.64500000000001"/>
    <x v="70"/>
    <d v="1899-12-30T18:35:00"/>
    <x v="0"/>
    <n v="174.9"/>
    <n v="4.7619047620000003"/>
    <n v="8.7449999999999992"/>
    <n v="6.6"/>
  </r>
  <r>
    <s v="652-49-6720"/>
    <x v="1"/>
    <x v="1"/>
    <s v="Member"/>
    <x v="0"/>
    <x v="1"/>
    <n v="60.95"/>
    <n v="1"/>
    <n v="3.0474999999999999"/>
    <n v="63.997500000000002"/>
    <x v="67"/>
    <d v="1899-12-30T11:40:00"/>
    <x v="0"/>
    <n v="60.95"/>
    <n v="4.7619047620000003"/>
    <n v="3.0474999999999999"/>
    <n v="5.9"/>
  </r>
  <r>
    <s v="233-67-5758"/>
    <x v="1"/>
    <x v="1"/>
    <s v="Normal"/>
    <x v="1"/>
    <x v="0"/>
    <n v="40.35"/>
    <n v="1"/>
    <n v="2.0175000000000001"/>
    <n v="42.3675"/>
    <x v="71"/>
    <d v="1899-12-30T13:46:00"/>
    <x v="0"/>
    <n v="40.35"/>
    <n v="4.7619047620000003"/>
    <n v="2.0175000000000001"/>
    <n v="6.2"/>
  </r>
  <r>
    <s v="303-96-2227"/>
    <x v="2"/>
    <x v="2"/>
    <s v="Normal"/>
    <x v="0"/>
    <x v="2"/>
    <n v="97.38"/>
    <n v="10"/>
    <n v="48.69"/>
    <n v="1022.49"/>
    <x v="22"/>
    <d v="1899-12-30T17:16:00"/>
    <x v="0"/>
    <n v="973.8"/>
    <n v="4.7619047620000003"/>
    <n v="48.69"/>
    <n v="4.4000000000000004"/>
  </r>
  <r>
    <s v="727-02-1313"/>
    <x v="0"/>
    <x v="0"/>
    <s v="Member"/>
    <x v="1"/>
    <x v="4"/>
    <n v="31.84"/>
    <n v="1"/>
    <n v="1.5920000000000001"/>
    <n v="33.432000000000002"/>
    <x v="57"/>
    <d v="1899-12-30T13:22:00"/>
    <x v="1"/>
    <n v="31.84"/>
    <n v="4.7619047620000003"/>
    <n v="1.5920000000000001"/>
    <n v="7.7"/>
  </r>
  <r>
    <s v="347-56-2442"/>
    <x v="0"/>
    <x v="0"/>
    <s v="Normal"/>
    <x v="1"/>
    <x v="2"/>
    <n v="65.819999999999993"/>
    <n v="1"/>
    <n v="3.2909999999999999"/>
    <n v="69.111000000000004"/>
    <x v="70"/>
    <d v="1899-12-30T15:33:00"/>
    <x v="1"/>
    <n v="65.819999999999993"/>
    <n v="4.7619047620000003"/>
    <n v="3.2909999999999999"/>
    <n v="4.0999999999999996"/>
  </r>
  <r>
    <s v="849-09-3807"/>
    <x v="0"/>
    <x v="0"/>
    <s v="Member"/>
    <x v="0"/>
    <x v="5"/>
    <n v="88.34"/>
    <n v="7"/>
    <n v="30.919"/>
    <n v="649.29899999999998"/>
    <x v="67"/>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AAA6D5-0624-4E94-BA51-B07FBDF9B52C}"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G7:H10" firstHeaderRow="1" firstDataRow="1" firstDataCol="1"/>
  <pivotFields count="18">
    <pivotField showAll="0"/>
    <pivotField showAll="0">
      <items count="4">
        <item x="0"/>
        <item x="2"/>
        <item x="1"/>
        <item t="default"/>
      </items>
    </pivotField>
    <pivotField showAll="0">
      <items count="4">
        <item x="2"/>
        <item x="1"/>
        <item x="0"/>
        <item t="default"/>
      </items>
    </pivotField>
    <pivotField showAll="0"/>
    <pivotField axis="axisRow" showAll="0">
      <items count="3">
        <item x="0"/>
        <item x="1"/>
        <item t="default"/>
      </items>
    </pivotField>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Total" fld="9"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4" count="1" selected="0">
            <x v="0"/>
          </reference>
        </references>
      </pivotArea>
    </chartFormat>
    <chartFormat chart="5"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filters count="1">
    <filter fld="10" type="dateBetween" evalOrder="-1" id="77"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8D7968-4424-49AF-8C75-8686A3FE7C9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3:K4" firstHeaderRow="1" firstDataRow="1" firstDataCol="0"/>
  <pivotFields count="18">
    <pivotField showAll="0"/>
    <pivotField showAll="0">
      <items count="4">
        <item x="0"/>
        <item x="2"/>
        <item x="1"/>
        <item t="default"/>
      </items>
    </pivotField>
    <pivotField showAll="0">
      <items count="4">
        <item x="2"/>
        <item x="1"/>
        <item x="0"/>
        <item t="default"/>
      </items>
    </pivotField>
    <pivotField showAll="0"/>
    <pivotField showAll="0">
      <items count="3">
        <item x="0"/>
        <item x="1"/>
        <item t="default"/>
      </items>
    </pivotField>
    <pivotField showAll="0"/>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ating" fld="16" baseField="0" baseItem="0"/>
  </dataFields>
  <pivotTableStyleInfo name="PivotStyleLight16" showRowHeaders="1" showColHeaders="1" showRowStripes="0" showColStripes="0" showLastColumn="1"/>
  <filters count="1">
    <filter fld="10" type="dateBetween" evalOrder="-1" id="77"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B1A77A-FDF1-4041-8073-76892019BCB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18">
    <pivotField showAll="0"/>
    <pivotField showAll="0">
      <items count="4">
        <item x="0"/>
        <item x="2"/>
        <item x="1"/>
        <item t="default"/>
      </items>
    </pivotField>
    <pivotField showAll="0"/>
    <pivotField showAll="0"/>
    <pivotField showAll="0">
      <items count="3">
        <item x="0"/>
        <item x="1"/>
        <item t="default"/>
      </items>
    </pivotField>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9" baseField="0" baseItem="0"/>
  </dataFields>
  <pivotTableStyleInfo name="PivotStyleLight16" showRowHeaders="1" showColHeaders="1" showRowStripes="0" showColStripes="0" showLastColumn="1"/>
  <filters count="1">
    <filter fld="10" type="dateBetween" evalOrder="-1" id="77"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439AE8-7D42-439E-84C5-4D11F03861B8}"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7:B21" firstHeaderRow="1" firstDataRow="1" firstDataCol="1"/>
  <pivotFields count="18">
    <pivotField showAll="0"/>
    <pivotField showAll="0">
      <items count="4">
        <item x="0"/>
        <item x="2"/>
        <item x="1"/>
        <item t="default"/>
      </items>
    </pivotField>
    <pivotField axis="axisRow" showAll="0">
      <items count="4">
        <item x="2"/>
        <item x="1"/>
        <item x="0"/>
        <item t="default"/>
      </items>
    </pivotField>
    <pivotField showAll="0"/>
    <pivotField showAll="0">
      <items count="3">
        <item x="0"/>
        <item x="1"/>
        <item t="default"/>
      </items>
    </pivotField>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Total"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77"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5668FD-1167-43AD-8F1C-FA59A4A0BB1A}"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0:B14" firstHeaderRow="1" firstDataRow="1" firstDataCol="1"/>
  <pivotFields count="18">
    <pivotField showAll="0"/>
    <pivotField axis="axisRow" showAll="0">
      <items count="4">
        <item x="0"/>
        <item x="2"/>
        <item x="1"/>
        <item t="default"/>
      </items>
    </pivotField>
    <pivotField showAll="0">
      <items count="4">
        <item x="2"/>
        <item x="1"/>
        <item x="0"/>
        <item t="default"/>
      </items>
    </pivotField>
    <pivotField showAll="0"/>
    <pivotField showAll="0">
      <items count="3">
        <item x="0"/>
        <item x="1"/>
        <item t="default"/>
      </items>
    </pivotField>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Total" fld="9" baseField="0" baseItem="0"/>
  </dataFields>
  <chartFormats count="4">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77"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AA7471-917C-410B-917C-F1EF631AE2AB}"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7:E14" firstHeaderRow="1" firstDataRow="1" firstDataCol="1"/>
  <pivotFields count="18">
    <pivotField showAll="0"/>
    <pivotField showAll="0">
      <items count="4">
        <item x="0"/>
        <item x="2"/>
        <item x="1"/>
        <item t="default"/>
      </items>
    </pivotField>
    <pivotField showAll="0">
      <items count="4">
        <item x="2"/>
        <item x="1"/>
        <item x="0"/>
        <item t="default"/>
      </items>
    </pivotField>
    <pivotField showAll="0"/>
    <pivotField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77"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11F293-9574-4AA2-B5DE-1F8E9397A56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3:I4" firstHeaderRow="1" firstDataRow="1" firstDataCol="0"/>
  <pivotFields count="18">
    <pivotField showAll="0"/>
    <pivotField showAll="0">
      <items count="4">
        <item x="0"/>
        <item x="2"/>
        <item x="1"/>
        <item t="default"/>
      </items>
    </pivotField>
    <pivotField showAll="0">
      <items count="4">
        <item x="2"/>
        <item x="1"/>
        <item x="0"/>
        <item t="default"/>
      </items>
    </pivotField>
    <pivotField showAll="0"/>
    <pivotField showAll="0">
      <items count="3">
        <item x="0"/>
        <item x="1"/>
        <item t="default"/>
      </items>
    </pivotField>
    <pivotField showAll="0"/>
    <pivotField showAll="0"/>
    <pivotField dataFiel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filters count="1">
    <filter fld="10" type="dateBetween" evalOrder="-1" id="77"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F2F89B-2BC8-4FED-A04B-D0E038CD74DF}"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
  <location ref="J6:K10" firstHeaderRow="1" firstDataRow="1" firstDataCol="1"/>
  <pivotFields count="18">
    <pivotField showAll="0"/>
    <pivotField showAll="0">
      <items count="4">
        <item x="0"/>
        <item x="2"/>
        <item x="1"/>
        <item t="default"/>
      </items>
    </pivotField>
    <pivotField showAll="0">
      <items count="4">
        <item x="2"/>
        <item x="1"/>
        <item x="0"/>
        <item t="default"/>
      </items>
    </pivotField>
    <pivotField showAll="0"/>
    <pivotField showAll="0">
      <items count="3">
        <item x="0"/>
        <item x="1"/>
        <item t="default"/>
      </items>
    </pivotField>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7"/>
  </rowFields>
  <rowItems count="4">
    <i>
      <x v="1"/>
    </i>
    <i>
      <x v="2"/>
    </i>
    <i>
      <x v="3"/>
    </i>
    <i t="grand">
      <x/>
    </i>
  </rowItems>
  <colItems count="1">
    <i/>
  </colItems>
  <dataFields count="1">
    <dataField name="Sum of Total" fld="9" baseField="0" baseItem="0"/>
  </dataFields>
  <chartFormats count="3">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77"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859924-8A56-4562-B150-DEAF0DAF086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7" firstHeaderRow="1" firstDataRow="1" firstDataCol="1"/>
  <pivotFields count="18">
    <pivotField showAll="0"/>
    <pivotField showAll="0">
      <items count="4">
        <item x="0"/>
        <item x="2"/>
        <item x="1"/>
        <item t="default"/>
      </items>
    </pivotField>
    <pivotField showAll="0">
      <items count="4">
        <item x="2"/>
        <item x="1"/>
        <item x="0"/>
        <item t="default"/>
      </items>
    </pivotField>
    <pivotField showAll="0"/>
    <pivotField showAll="0">
      <items count="3">
        <item x="0"/>
        <item x="1"/>
        <item t="default"/>
      </items>
    </pivotField>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axis="axisRow"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Sum of Total" fld="9"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filters count="1">
    <filter fld="10" type="dateBetween" evalOrder="-1" id="77"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71CB82-E16F-480A-B666-260D80AA4EF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G4" firstHeaderRow="1" firstDataRow="1" firstDataCol="0"/>
  <pivotFields count="18">
    <pivotField showAll="0"/>
    <pivotField showAll="0">
      <items count="4">
        <item x="0"/>
        <item x="2"/>
        <item x="1"/>
        <item t="default"/>
      </items>
    </pivotField>
    <pivotField showAll="0">
      <items count="4">
        <item x="2"/>
        <item x="1"/>
        <item x="0"/>
        <item t="default"/>
      </items>
    </pivotField>
    <pivotField showAll="0"/>
    <pivotField showAll="0">
      <items count="3">
        <item x="0"/>
        <item x="1"/>
        <item t="default"/>
      </items>
    </pivotField>
    <pivotField showAll="0"/>
    <pivotField showAll="0"/>
    <pivotField showAll="0"/>
    <pivotField dataField="1"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ax 5%" fld="8" baseField="0" baseItem="0"/>
  </dataFields>
  <pivotTableStyleInfo name="PivotStyleLight16" showRowHeaders="1" showColHeaders="1" showRowStripes="0" showColStripes="0" showLastColumn="1"/>
  <filters count="1">
    <filter fld="10" type="dateBetween" evalOrder="-1" id="77"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4547F9B5-EFB9-40DE-8991-B7D72ABC6003}" sourceName="Payment">
  <pivotTables>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 tabId="2" name="PivotTable9"/>
  </pivotTables>
  <data>
    <tabular pivotCacheId="96064967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1A2DA63D-C98F-4C79-8082-397D4FE10C7E}" sourceName="Branch">
  <pivotTables>
    <pivotTable tabId="2" name="PivotTable7"/>
    <pivotTable tabId="2" name="PivotTable1"/>
    <pivotTable tabId="2" name="PivotTable10"/>
    <pivotTable tabId="2" name="PivotTable11"/>
    <pivotTable tabId="2" name="PivotTable3"/>
    <pivotTable tabId="2" name="PivotTable4"/>
    <pivotTable tabId="2" name="PivotTable5"/>
    <pivotTable tabId="2" name="PivotTable6"/>
    <pivotTable tabId="2" name="PivotTable8"/>
    <pivotTable tabId="2" name="PivotTable9"/>
  </pivotTables>
  <data>
    <tabular pivotCacheId="96064967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9E9E21D-99B3-4153-BD90-A2BCFC540A8D}" sourceName="City">
  <pivotTables>
    <pivotTable tabId="2" name="PivotTable8"/>
    <pivotTable tabId="2" name="PivotTable1"/>
    <pivotTable tabId="2" name="PivotTable10"/>
    <pivotTable tabId="2" name="PivotTable11"/>
    <pivotTable tabId="2" name="PivotTable4"/>
    <pivotTable tabId="2" name="PivotTable5"/>
    <pivotTable tabId="2" name="PivotTable6"/>
    <pivotTable tabId="2" name="PivotTable7"/>
    <pivotTable tabId="2" name="PivotTable9"/>
  </pivotTables>
  <data>
    <tabular pivotCacheId="96064967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4327D14-93ED-4A40-8643-CC9BC3C4FF23}" sourceName="Gender">
  <pivotTables>
    <pivotTable tabId="2" name="PivotTable10"/>
    <pivotTable tabId="2" name="PivotTable1"/>
    <pivotTable tabId="2" name="PivotTable11"/>
    <pivotTable tabId="2" name="PivotTable3"/>
    <pivotTable tabId="2" name="PivotTable4"/>
    <pivotTable tabId="2" name="PivotTable5"/>
    <pivotTable tabId="2" name="PivotTable6"/>
    <pivotTable tabId="2" name="PivotTable7"/>
    <pivotTable tabId="2" name="PivotTable8"/>
    <pivotTable tabId="2" name="PivotTable9"/>
  </pivotTables>
  <data>
    <tabular pivotCacheId="96064967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D47ED1B8-D6EE-443B-BFE6-BE41BB721A16}" cache="Slicer_Payment" caption="Payment" rowHeight="247650"/>
  <slicer name="Branch" xr10:uid="{A1366B41-10CA-42A5-A323-574F5C0C4266}" cache="Slicer_Branch" caption="Branch" rowHeight="247650"/>
  <slicer name="City" xr10:uid="{36F0165C-7A3A-4E51-B511-3C4365E1F5C3}" cache="Slicer_City" caption="City" rowHeight="247650"/>
  <slicer name="Gender" xr10:uid="{C953047F-62C7-459E-8800-D72CB6A6155B}" cache="Slicer_Gender" caption="Gend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33043F2-3BF1-4E74-AD30-B16491468232}" sourceName="Date">
  <pivotTables>
    <pivotTable tabId="2" name="PivotTable9"/>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s>
  <state minimalRefreshVersion="6" lastRefreshVersion="6" pivotCacheId="960649678" filterType="dateBetween">
    <selection startDate="2019-01-01T00:00:00" endDate="2019-12-31T00:00:00"/>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E14BFA8-5A22-4C41-8E3C-4AE1E513FDE7}" cache="NativeTimeline_Date" caption="Date" level="2" selectionLevel="0" scrollPosition="2019-01-01T00:00:00" style="Timeline Style 3"/>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6311-A788-4118-8A81-35F53EDFAD1B}">
  <dimension ref="A3:K21"/>
  <sheetViews>
    <sheetView workbookViewId="0">
      <selection activeCell="A11" sqref="A11"/>
    </sheetView>
  </sheetViews>
  <sheetFormatPr defaultRowHeight="14.4" x14ac:dyDescent="0.3"/>
  <cols>
    <col min="1" max="1" width="12.44140625" bestFit="1" customWidth="1"/>
    <col min="2" max="2" width="12" bestFit="1" customWidth="1"/>
    <col min="4" max="4" width="19.44140625" bestFit="1" customWidth="1"/>
    <col min="5" max="5" width="15.109375" bestFit="1" customWidth="1"/>
    <col min="7" max="7" width="12.6640625" bestFit="1" customWidth="1"/>
    <col min="8" max="8" width="11.109375" bestFit="1" customWidth="1"/>
    <col min="9" max="9" width="14.21875" bestFit="1" customWidth="1"/>
    <col min="10" max="10" width="10.5546875" bestFit="1" customWidth="1"/>
    <col min="11" max="11" width="12.21875" bestFit="1" customWidth="1"/>
  </cols>
  <sheetData>
    <row r="3" spans="1:11" x14ac:dyDescent="0.3">
      <c r="A3" s="3" t="s">
        <v>1036</v>
      </c>
      <c r="B3" t="s">
        <v>1038</v>
      </c>
      <c r="E3" t="s">
        <v>1038</v>
      </c>
      <c r="G3" t="s">
        <v>1039</v>
      </c>
      <c r="I3" t="s">
        <v>1040</v>
      </c>
      <c r="K3" t="s">
        <v>1041</v>
      </c>
    </row>
    <row r="4" spans="1:11" x14ac:dyDescent="0.3">
      <c r="A4" s="4" t="s">
        <v>29</v>
      </c>
      <c r="B4">
        <v>112206.56999999995</v>
      </c>
      <c r="E4">
        <v>322966.74900000007</v>
      </c>
      <c r="G4">
        <v>15379.369000000002</v>
      </c>
      <c r="I4">
        <v>5510</v>
      </c>
      <c r="K4">
        <v>6972.7000000000035</v>
      </c>
    </row>
    <row r="5" spans="1:11" x14ac:dyDescent="0.3">
      <c r="A5" s="4" t="s">
        <v>33</v>
      </c>
      <c r="B5">
        <v>100767.07200000006</v>
      </c>
    </row>
    <row r="6" spans="1:11" x14ac:dyDescent="0.3">
      <c r="A6" s="4" t="s">
        <v>23</v>
      </c>
      <c r="B6">
        <v>109993.107</v>
      </c>
      <c r="J6" s="3" t="s">
        <v>1046</v>
      </c>
      <c r="K6" t="s">
        <v>1038</v>
      </c>
    </row>
    <row r="7" spans="1:11" x14ac:dyDescent="0.3">
      <c r="A7" s="4" t="s">
        <v>1037</v>
      </c>
      <c r="B7">
        <v>322966.74900000001</v>
      </c>
      <c r="D7" s="3" t="s">
        <v>1036</v>
      </c>
      <c r="E7" t="s">
        <v>1042</v>
      </c>
      <c r="G7" s="3" t="s">
        <v>1036</v>
      </c>
      <c r="H7" t="s">
        <v>1038</v>
      </c>
      <c r="J7" s="4" t="s">
        <v>1043</v>
      </c>
      <c r="K7">
        <v>116291.86800000005</v>
      </c>
    </row>
    <row r="8" spans="1:11" x14ac:dyDescent="0.3">
      <c r="D8" s="4" t="s">
        <v>28</v>
      </c>
      <c r="E8">
        <v>6.9247058823529404</v>
      </c>
      <c r="G8" s="4" t="s">
        <v>21</v>
      </c>
      <c r="H8">
        <v>167882.92500000002</v>
      </c>
      <c r="J8" s="4" t="s">
        <v>1044</v>
      </c>
      <c r="K8">
        <v>97219.373999999967</v>
      </c>
    </row>
    <row r="9" spans="1:11" x14ac:dyDescent="0.3">
      <c r="D9" s="4" t="s">
        <v>46</v>
      </c>
      <c r="E9">
        <v>7.0292134831460666</v>
      </c>
      <c r="G9" s="4" t="s">
        <v>31</v>
      </c>
      <c r="H9">
        <v>155083.82400000014</v>
      </c>
      <c r="J9" s="4" t="s">
        <v>1045</v>
      </c>
      <c r="K9">
        <v>109455.50700000004</v>
      </c>
    </row>
    <row r="10" spans="1:11" x14ac:dyDescent="0.3">
      <c r="A10" s="3" t="s">
        <v>1036</v>
      </c>
      <c r="B10" t="s">
        <v>1038</v>
      </c>
      <c r="D10" s="4" t="s">
        <v>44</v>
      </c>
      <c r="E10">
        <v>7.1132183908045983</v>
      </c>
      <c r="G10" s="4" t="s">
        <v>1037</v>
      </c>
      <c r="H10">
        <v>322966.74900000019</v>
      </c>
      <c r="J10" s="4" t="s">
        <v>1037</v>
      </c>
      <c r="K10">
        <v>322966.74900000007</v>
      </c>
    </row>
    <row r="11" spans="1:11" x14ac:dyDescent="0.3">
      <c r="A11" s="4" t="s">
        <v>18</v>
      </c>
      <c r="B11">
        <v>106200.37050000011</v>
      </c>
      <c r="D11" s="4" t="s">
        <v>22</v>
      </c>
      <c r="E11">
        <v>7.0032894736842124</v>
      </c>
    </row>
    <row r="12" spans="1:11" x14ac:dyDescent="0.3">
      <c r="A12" s="4" t="s">
        <v>42</v>
      </c>
      <c r="B12">
        <v>106197.67199999996</v>
      </c>
      <c r="D12" s="4" t="s">
        <v>32</v>
      </c>
      <c r="E12">
        <v>6.8375000000000004</v>
      </c>
    </row>
    <row r="13" spans="1:11" x14ac:dyDescent="0.3">
      <c r="A13" s="4" t="s">
        <v>25</v>
      </c>
      <c r="B13">
        <v>110568.70649999994</v>
      </c>
      <c r="D13" s="4" t="s">
        <v>36</v>
      </c>
      <c r="E13">
        <v>6.9162650602409643</v>
      </c>
      <c r="G13">
        <f>GETPIVOTDATA("Tax 5%",$G$3)</f>
        <v>15379.369000000002</v>
      </c>
      <c r="I13">
        <f>GETPIVOTDATA("Quantity",$I$3)</f>
        <v>5510</v>
      </c>
      <c r="J13">
        <f>GETPIVOTDATA("Rating",$K$3)</f>
        <v>6972.7000000000035</v>
      </c>
    </row>
    <row r="14" spans="1:11" x14ac:dyDescent="0.3">
      <c r="A14" s="4" t="s">
        <v>1037</v>
      </c>
      <c r="B14">
        <v>322966.74900000001</v>
      </c>
      <c r="D14" s="4" t="s">
        <v>1037</v>
      </c>
      <c r="E14">
        <v>6.972699999999997</v>
      </c>
    </row>
    <row r="16" spans="1:11" x14ac:dyDescent="0.3">
      <c r="E16" s="6">
        <f>GETPIVOTDATA("Total",$E$3)</f>
        <v>322966.74900000007</v>
      </c>
    </row>
    <row r="17" spans="1:5" x14ac:dyDescent="0.3">
      <c r="A17" s="3" t="s">
        <v>1036</v>
      </c>
      <c r="B17" t="s">
        <v>1038</v>
      </c>
      <c r="E17" s="5"/>
    </row>
    <row r="18" spans="1:5" x14ac:dyDescent="0.3">
      <c r="A18" s="4" t="s">
        <v>43</v>
      </c>
      <c r="B18">
        <v>106197.67199999996</v>
      </c>
    </row>
    <row r="19" spans="1:5" x14ac:dyDescent="0.3">
      <c r="A19" s="4" t="s">
        <v>26</v>
      </c>
      <c r="B19">
        <v>110568.70649999994</v>
      </c>
    </row>
    <row r="20" spans="1:5" x14ac:dyDescent="0.3">
      <c r="A20" s="4" t="s">
        <v>19</v>
      </c>
      <c r="B20">
        <v>106200.37050000011</v>
      </c>
    </row>
    <row r="21" spans="1:5" x14ac:dyDescent="0.3">
      <c r="A21" s="4" t="s">
        <v>1037</v>
      </c>
      <c r="B21">
        <v>322966.74900000001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EAEBC-41A8-4B4A-A8A4-0AD2446A801B}">
  <dimension ref="A1:Q1001"/>
  <sheetViews>
    <sheetView topLeftCell="A87" workbookViewId="0">
      <selection activeCell="F11" sqref="F11"/>
    </sheetView>
  </sheetViews>
  <sheetFormatPr defaultRowHeight="14.4" x14ac:dyDescent="0.3"/>
  <cols>
    <col min="11" max="11" width="18.109375" style="1" customWidth="1"/>
    <col min="13" max="13" width="16.44140625" customWidth="1"/>
    <col min="15" max="15" width="12.88671875" customWidth="1"/>
    <col min="16" max="16" width="18.21875" customWidth="1"/>
  </cols>
  <sheetData>
    <row r="1" spans="1:17" x14ac:dyDescent="0.3">
      <c r="A1" t="s">
        <v>0</v>
      </c>
      <c r="B1" t="s">
        <v>1</v>
      </c>
      <c r="C1" t="s">
        <v>2</v>
      </c>
      <c r="D1" t="s">
        <v>3</v>
      </c>
      <c r="E1" t="s">
        <v>4</v>
      </c>
      <c r="F1" t="s">
        <v>5</v>
      </c>
      <c r="G1" t="s">
        <v>6</v>
      </c>
      <c r="H1" t="s">
        <v>7</v>
      </c>
      <c r="I1" t="s">
        <v>8</v>
      </c>
      <c r="J1" t="s">
        <v>9</v>
      </c>
      <c r="K1" s="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s="1">
        <v>43492</v>
      </c>
      <c r="L5" s="2">
        <v>0.85624999999999996</v>
      </c>
      <c r="M5" t="s">
        <v>23</v>
      </c>
      <c r="N5">
        <v>465.76</v>
      </c>
      <c r="O5">
        <v>4.7619047620000003</v>
      </c>
      <c r="P5">
        <v>23.288</v>
      </c>
      <c r="Q5">
        <v>8.4</v>
      </c>
    </row>
    <row r="6" spans="1:17" x14ac:dyDescent="0.3">
      <c r="A6" t="s">
        <v>35</v>
      </c>
      <c r="B6" t="s">
        <v>18</v>
      </c>
      <c r="C6" t="s">
        <v>19</v>
      </c>
      <c r="D6" t="s">
        <v>27</v>
      </c>
      <c r="E6" t="s">
        <v>31</v>
      </c>
      <c r="F6" t="s">
        <v>36</v>
      </c>
      <c r="G6">
        <v>86.31</v>
      </c>
      <c r="H6">
        <v>7</v>
      </c>
      <c r="I6">
        <v>30.208500000000001</v>
      </c>
      <c r="J6">
        <v>634.37850000000003</v>
      </c>
      <c r="K6" s="1">
        <v>43504</v>
      </c>
      <c r="L6" s="2">
        <v>0.44236111111111109</v>
      </c>
      <c r="M6" t="s">
        <v>23</v>
      </c>
      <c r="N6">
        <v>604.16999999999996</v>
      </c>
      <c r="O6">
        <v>4.7619047620000003</v>
      </c>
      <c r="P6">
        <v>30.208500000000001</v>
      </c>
      <c r="Q6">
        <v>5.3</v>
      </c>
    </row>
    <row r="7" spans="1:17" x14ac:dyDescent="0.3">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3">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3">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3">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
      <c r="A14" t="s">
        <v>48</v>
      </c>
      <c r="B14" t="s">
        <v>18</v>
      </c>
      <c r="C14" t="s">
        <v>19</v>
      </c>
      <c r="D14" t="s">
        <v>27</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row>
    <row r="15" spans="1:17" x14ac:dyDescent="0.3">
      <c r="A15" t="s">
        <v>49</v>
      </c>
      <c r="B15" t="s">
        <v>18</v>
      </c>
      <c r="C15" t="s">
        <v>19</v>
      </c>
      <c r="D15" t="s">
        <v>27</v>
      </c>
      <c r="E15" t="s">
        <v>31</v>
      </c>
      <c r="F15" t="s">
        <v>44</v>
      </c>
      <c r="G15">
        <v>43.19</v>
      </c>
      <c r="H15">
        <v>10</v>
      </c>
      <c r="I15">
        <v>21.594999999999999</v>
      </c>
      <c r="J15">
        <v>453.495</v>
      </c>
      <c r="K15" s="1">
        <v>43503</v>
      </c>
      <c r="L15" s="2">
        <v>0.7</v>
      </c>
      <c r="M15" t="s">
        <v>23</v>
      </c>
      <c r="N15">
        <v>431.9</v>
      </c>
      <c r="O15">
        <v>4.7619047620000003</v>
      </c>
      <c r="P15">
        <v>21.594999999999999</v>
      </c>
      <c r="Q15">
        <v>8.1999999999999993</v>
      </c>
    </row>
    <row r="16" spans="1:17" x14ac:dyDescent="0.3">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3">
      <c r="A18" t="s">
        <v>52</v>
      </c>
      <c r="B18" t="s">
        <v>18</v>
      </c>
      <c r="C18" t="s">
        <v>19</v>
      </c>
      <c r="D18" t="s">
        <v>20</v>
      </c>
      <c r="E18" t="s">
        <v>21</v>
      </c>
      <c r="F18" t="s">
        <v>22</v>
      </c>
      <c r="G18">
        <v>68.930000000000007</v>
      </c>
      <c r="H18">
        <v>7</v>
      </c>
      <c r="I18">
        <v>24.125499999999999</v>
      </c>
      <c r="J18">
        <v>506.63549999999998</v>
      </c>
      <c r="K18" s="1">
        <v>43535</v>
      </c>
      <c r="L18" s="2">
        <v>0.46041666666666664</v>
      </c>
      <c r="M18" t="s">
        <v>33</v>
      </c>
      <c r="N18">
        <v>482.51</v>
      </c>
      <c r="O18">
        <v>4.7619047620000003</v>
      </c>
      <c r="P18">
        <v>24.125499999999999</v>
      </c>
      <c r="Q18">
        <v>4.5999999999999996</v>
      </c>
    </row>
    <row r="19" spans="1:17" x14ac:dyDescent="0.3">
      <c r="A19" t="s">
        <v>53</v>
      </c>
      <c r="B19" t="s">
        <v>18</v>
      </c>
      <c r="C19" t="s">
        <v>19</v>
      </c>
      <c r="D19" t="s">
        <v>27</v>
      </c>
      <c r="E19" t="s">
        <v>31</v>
      </c>
      <c r="F19" t="s">
        <v>36</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3">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
      <c r="A22" t="s">
        <v>56</v>
      </c>
      <c r="B22" t="s">
        <v>25</v>
      </c>
      <c r="C22" t="s">
        <v>26</v>
      </c>
      <c r="D22" t="s">
        <v>20</v>
      </c>
      <c r="E22" t="s">
        <v>31</v>
      </c>
      <c r="F22" t="s">
        <v>28</v>
      </c>
      <c r="G22">
        <v>86.04</v>
      </c>
      <c r="H22">
        <v>5</v>
      </c>
      <c r="I22">
        <v>21.51</v>
      </c>
      <c r="J22">
        <v>451.71</v>
      </c>
      <c r="K22" s="1">
        <v>43521</v>
      </c>
      <c r="L22" s="2">
        <v>0.47499999999999998</v>
      </c>
      <c r="M22" t="s">
        <v>23</v>
      </c>
      <c r="N22">
        <v>430.2</v>
      </c>
      <c r="O22">
        <v>4.7619047620000003</v>
      </c>
      <c r="P22">
        <v>21.51</v>
      </c>
      <c r="Q22">
        <v>4.8</v>
      </c>
    </row>
    <row r="23" spans="1:17" x14ac:dyDescent="0.3">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
      <c r="A24" t="s">
        <v>58</v>
      </c>
      <c r="B24" t="s">
        <v>42</v>
      </c>
      <c r="C24" t="s">
        <v>43</v>
      </c>
      <c r="D24" t="s">
        <v>27</v>
      </c>
      <c r="E24" t="s">
        <v>31</v>
      </c>
      <c r="F24" t="s">
        <v>32</v>
      </c>
      <c r="G24">
        <v>33.200000000000003</v>
      </c>
      <c r="H24">
        <v>2</v>
      </c>
      <c r="I24">
        <v>3.32</v>
      </c>
      <c r="J24">
        <v>69.72</v>
      </c>
      <c r="K24" s="1">
        <v>43539</v>
      </c>
      <c r="L24" s="2">
        <v>0.51388888888888884</v>
      </c>
      <c r="M24" t="s">
        <v>33</v>
      </c>
      <c r="N24">
        <v>66.400000000000006</v>
      </c>
      <c r="O24">
        <v>4.7619047620000003</v>
      </c>
      <c r="P24">
        <v>3.32</v>
      </c>
      <c r="Q24">
        <v>4.4000000000000004</v>
      </c>
    </row>
    <row r="25" spans="1:17" x14ac:dyDescent="0.3">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3">
      <c r="A26" t="s">
        <v>60</v>
      </c>
      <c r="B26" t="s">
        <v>18</v>
      </c>
      <c r="C26" t="s">
        <v>19</v>
      </c>
      <c r="D26" t="s">
        <v>20</v>
      </c>
      <c r="E26" t="s">
        <v>31</v>
      </c>
      <c r="F26" t="s">
        <v>36</v>
      </c>
      <c r="G26">
        <v>88.63</v>
      </c>
      <c r="H26">
        <v>3</v>
      </c>
      <c r="I26">
        <v>13.294499999999999</v>
      </c>
      <c r="J26">
        <v>279.18450000000001</v>
      </c>
      <c r="K26" s="1">
        <v>43526</v>
      </c>
      <c r="L26" s="2">
        <v>0.73333333333333328</v>
      </c>
      <c r="M26" t="s">
        <v>23</v>
      </c>
      <c r="N26">
        <v>265.89</v>
      </c>
      <c r="O26">
        <v>4.7619047620000003</v>
      </c>
      <c r="P26">
        <v>13.294499999999999</v>
      </c>
      <c r="Q26">
        <v>6</v>
      </c>
    </row>
    <row r="27" spans="1:17" x14ac:dyDescent="0.3">
      <c r="A27" t="s">
        <v>61</v>
      </c>
      <c r="B27" t="s">
        <v>18</v>
      </c>
      <c r="C27" t="s">
        <v>19</v>
      </c>
      <c r="D27" t="s">
        <v>20</v>
      </c>
      <c r="E27" t="s">
        <v>21</v>
      </c>
      <c r="F27" t="s">
        <v>32</v>
      </c>
      <c r="G27">
        <v>52.59</v>
      </c>
      <c r="H27">
        <v>8</v>
      </c>
      <c r="I27">
        <v>21.036000000000001</v>
      </c>
      <c r="J27">
        <v>441.75599999999997</v>
      </c>
      <c r="K27" s="1">
        <v>43546</v>
      </c>
      <c r="L27" s="2">
        <v>0.80555555555555558</v>
      </c>
      <c r="M27" t="s">
        <v>33</v>
      </c>
      <c r="N27">
        <v>420.72</v>
      </c>
      <c r="O27">
        <v>4.7619047620000003</v>
      </c>
      <c r="P27">
        <v>21.036000000000001</v>
      </c>
      <c r="Q27">
        <v>8.5</v>
      </c>
    </row>
    <row r="28" spans="1:17" x14ac:dyDescent="0.3">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3">
      <c r="A30" t="s">
        <v>64</v>
      </c>
      <c r="B30" t="s">
        <v>42</v>
      </c>
      <c r="C30" t="s">
        <v>43</v>
      </c>
      <c r="D30" t="s">
        <v>27</v>
      </c>
      <c r="E30" t="s">
        <v>21</v>
      </c>
      <c r="F30" t="s">
        <v>44</v>
      </c>
      <c r="G30">
        <v>88.36</v>
      </c>
      <c r="H30">
        <v>5</v>
      </c>
      <c r="I30">
        <v>22.09</v>
      </c>
      <c r="J30">
        <v>463.89</v>
      </c>
      <c r="K30" s="1">
        <v>43490</v>
      </c>
      <c r="L30" s="2">
        <v>0.82499999999999996</v>
      </c>
      <c r="M30" t="s">
        <v>29</v>
      </c>
      <c r="N30">
        <v>441.8</v>
      </c>
      <c r="O30">
        <v>4.7619047620000003</v>
      </c>
      <c r="P30">
        <v>22.09</v>
      </c>
      <c r="Q30">
        <v>9.6</v>
      </c>
    </row>
    <row r="31" spans="1:17" x14ac:dyDescent="0.3">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3">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3">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3">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3">
      <c r="A36" t="s">
        <v>70</v>
      </c>
      <c r="B36" t="s">
        <v>25</v>
      </c>
      <c r="C36" t="s">
        <v>26</v>
      </c>
      <c r="D36" t="s">
        <v>20</v>
      </c>
      <c r="E36" t="s">
        <v>21</v>
      </c>
      <c r="F36" t="s">
        <v>44</v>
      </c>
      <c r="G36">
        <v>99.42</v>
      </c>
      <c r="H36">
        <v>4</v>
      </c>
      <c r="I36">
        <v>19.884</v>
      </c>
      <c r="J36">
        <v>417.56400000000002</v>
      </c>
      <c r="K36" s="1">
        <v>43502</v>
      </c>
      <c r="L36" s="2">
        <v>0.44583333333333336</v>
      </c>
      <c r="M36" t="s">
        <v>23</v>
      </c>
      <c r="N36">
        <v>397.68</v>
      </c>
      <c r="O36">
        <v>4.7619047620000003</v>
      </c>
      <c r="P36">
        <v>19.884</v>
      </c>
      <c r="Q36">
        <v>7.5</v>
      </c>
    </row>
    <row r="37" spans="1:17" x14ac:dyDescent="0.3">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
      <c r="A39" t="s">
        <v>73</v>
      </c>
      <c r="B39" t="s">
        <v>18</v>
      </c>
      <c r="C39" t="s">
        <v>19</v>
      </c>
      <c r="D39" t="s">
        <v>27</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row>
    <row r="40" spans="1:17" x14ac:dyDescent="0.3">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
      <c r="A41" t="s">
        <v>75</v>
      </c>
      <c r="B41" t="s">
        <v>42</v>
      </c>
      <c r="C41" t="s">
        <v>43</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3">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78</v>
      </c>
      <c r="B44" t="s">
        <v>42</v>
      </c>
      <c r="C44" t="s">
        <v>43</v>
      </c>
      <c r="D44" t="s">
        <v>20</v>
      </c>
      <c r="E44" t="s">
        <v>21</v>
      </c>
      <c r="F44" t="s">
        <v>36</v>
      </c>
      <c r="G44">
        <v>69.12</v>
      </c>
      <c r="H44">
        <v>6</v>
      </c>
      <c r="I44">
        <v>20.736000000000001</v>
      </c>
      <c r="J44">
        <v>435.45600000000002</v>
      </c>
      <c r="K44" s="1">
        <v>43504</v>
      </c>
      <c r="L44" s="2">
        <v>0.54374999999999996</v>
      </c>
      <c r="M44" t="s">
        <v>29</v>
      </c>
      <c r="N44">
        <v>414.72</v>
      </c>
      <c r="O44">
        <v>4.7619047620000003</v>
      </c>
      <c r="P44">
        <v>20.736000000000001</v>
      </c>
      <c r="Q44">
        <v>5.6</v>
      </c>
    </row>
    <row r="45" spans="1:17" x14ac:dyDescent="0.3">
      <c r="A45" t="s">
        <v>79</v>
      </c>
      <c r="B45" t="s">
        <v>25</v>
      </c>
      <c r="C45" t="s">
        <v>26</v>
      </c>
      <c r="D45" t="s">
        <v>20</v>
      </c>
      <c r="E45" t="s">
        <v>21</v>
      </c>
      <c r="F45" t="s">
        <v>44</v>
      </c>
      <c r="G45">
        <v>98.7</v>
      </c>
      <c r="H45">
        <v>8</v>
      </c>
      <c r="I45">
        <v>39.479999999999997</v>
      </c>
      <c r="J45">
        <v>829.08</v>
      </c>
      <c r="K45" s="1">
        <v>43528</v>
      </c>
      <c r="L45" s="2">
        <v>0.86041666666666672</v>
      </c>
      <c r="M45" t="s">
        <v>29</v>
      </c>
      <c r="N45">
        <v>789.6</v>
      </c>
      <c r="O45">
        <v>4.7619047620000003</v>
      </c>
      <c r="P45">
        <v>39.479999999999997</v>
      </c>
      <c r="Q45">
        <v>7.6</v>
      </c>
    </row>
    <row r="46" spans="1:17" x14ac:dyDescent="0.3">
      <c r="A46" t="s">
        <v>80</v>
      </c>
      <c r="B46" t="s">
        <v>25</v>
      </c>
      <c r="C46" t="s">
        <v>26</v>
      </c>
      <c r="D46" t="s">
        <v>20</v>
      </c>
      <c r="E46" t="s">
        <v>31</v>
      </c>
      <c r="F46" t="s">
        <v>22</v>
      </c>
      <c r="G46">
        <v>15.37</v>
      </c>
      <c r="H46">
        <v>2</v>
      </c>
      <c r="I46">
        <v>1.5369999999999999</v>
      </c>
      <c r="J46">
        <v>32.277000000000001</v>
      </c>
      <c r="K46" s="1">
        <v>43540</v>
      </c>
      <c r="L46" s="2">
        <v>0.82430555555555551</v>
      </c>
      <c r="M46" t="s">
        <v>29</v>
      </c>
      <c r="N46">
        <v>30.74</v>
      </c>
      <c r="O46">
        <v>4.7619047620000003</v>
      </c>
      <c r="P46">
        <v>1.5369999999999999</v>
      </c>
      <c r="Q46">
        <v>7.2</v>
      </c>
    </row>
    <row r="47" spans="1:17" x14ac:dyDescent="0.3">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3">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3">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
      <c r="A52" t="s">
        <v>86</v>
      </c>
      <c r="B52" t="s">
        <v>25</v>
      </c>
      <c r="C52" t="s">
        <v>26</v>
      </c>
      <c r="D52" t="s">
        <v>20</v>
      </c>
      <c r="E52" t="s">
        <v>31</v>
      </c>
      <c r="F52" t="s">
        <v>44</v>
      </c>
      <c r="G52">
        <v>91.4</v>
      </c>
      <c r="H52">
        <v>7</v>
      </c>
      <c r="I52">
        <v>31.99</v>
      </c>
      <c r="J52">
        <v>671.79</v>
      </c>
      <c r="K52" s="1">
        <v>43499</v>
      </c>
      <c r="L52" s="2">
        <v>0.42986111111111114</v>
      </c>
      <c r="M52" t="s">
        <v>29</v>
      </c>
      <c r="N52">
        <v>639.79999999999995</v>
      </c>
      <c r="O52">
        <v>4.7619047620000003</v>
      </c>
      <c r="P52">
        <v>31.99</v>
      </c>
      <c r="Q52">
        <v>9.5</v>
      </c>
    </row>
    <row r="53" spans="1:17" x14ac:dyDescent="0.3">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3">
      <c r="A54" t="s">
        <v>88</v>
      </c>
      <c r="B54" t="s">
        <v>42</v>
      </c>
      <c r="C54" t="s">
        <v>43</v>
      </c>
      <c r="D54" t="s">
        <v>20</v>
      </c>
      <c r="E54" t="s">
        <v>21</v>
      </c>
      <c r="F54" t="s">
        <v>46</v>
      </c>
      <c r="G54">
        <v>17.87</v>
      </c>
      <c r="H54">
        <v>4</v>
      </c>
      <c r="I54">
        <v>3.5739999999999998</v>
      </c>
      <c r="J54">
        <v>75.054000000000002</v>
      </c>
      <c r="K54" s="1">
        <v>43546</v>
      </c>
      <c r="L54" s="2">
        <v>0.61250000000000004</v>
      </c>
      <c r="M54" t="s">
        <v>23</v>
      </c>
      <c r="N54">
        <v>71.48</v>
      </c>
      <c r="O54">
        <v>4.7619047620000003</v>
      </c>
      <c r="P54">
        <v>3.5739999999999998</v>
      </c>
      <c r="Q54">
        <v>6.5</v>
      </c>
    </row>
    <row r="55" spans="1:17" x14ac:dyDescent="0.3">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3">
      <c r="A56" t="s">
        <v>90</v>
      </c>
      <c r="B56" t="s">
        <v>42</v>
      </c>
      <c r="C56" t="s">
        <v>43</v>
      </c>
      <c r="D56" t="s">
        <v>27</v>
      </c>
      <c r="E56" t="s">
        <v>31</v>
      </c>
      <c r="F56" t="s">
        <v>32</v>
      </c>
      <c r="G56">
        <v>16.16</v>
      </c>
      <c r="H56">
        <v>2</v>
      </c>
      <c r="I56">
        <v>1.6160000000000001</v>
      </c>
      <c r="J56">
        <v>33.936</v>
      </c>
      <c r="K56" s="1">
        <v>43531</v>
      </c>
      <c r="L56" s="2">
        <v>0.49236111111111114</v>
      </c>
      <c r="M56" t="s">
        <v>23</v>
      </c>
      <c r="N56">
        <v>32.32</v>
      </c>
      <c r="O56">
        <v>4.7619047620000003</v>
      </c>
      <c r="P56">
        <v>1.6160000000000001</v>
      </c>
      <c r="Q56">
        <v>6.5</v>
      </c>
    </row>
    <row r="57" spans="1:17" x14ac:dyDescent="0.3">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
      <c r="A58" t="s">
        <v>92</v>
      </c>
      <c r="B58" t="s">
        <v>18</v>
      </c>
      <c r="C58" t="s">
        <v>19</v>
      </c>
      <c r="D58" t="s">
        <v>20</v>
      </c>
      <c r="E58" t="s">
        <v>31</v>
      </c>
      <c r="F58" t="s">
        <v>32</v>
      </c>
      <c r="G58">
        <v>44.34</v>
      </c>
      <c r="H58">
        <v>2</v>
      </c>
      <c r="I58">
        <v>4.4340000000000002</v>
      </c>
      <c r="J58">
        <v>93.114000000000004</v>
      </c>
      <c r="K58" s="1">
        <v>43551</v>
      </c>
      <c r="L58" s="2">
        <v>0.47638888888888886</v>
      </c>
      <c r="M58" t="s">
        <v>29</v>
      </c>
      <c r="N58">
        <v>88.68</v>
      </c>
      <c r="O58">
        <v>4.7619047620000003</v>
      </c>
      <c r="P58">
        <v>4.4340000000000002</v>
      </c>
      <c r="Q58">
        <v>5.8</v>
      </c>
    </row>
    <row r="59" spans="1:17" x14ac:dyDescent="0.3">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
      <c r="A61" t="s">
        <v>95</v>
      </c>
      <c r="B61" t="s">
        <v>25</v>
      </c>
      <c r="C61" t="s">
        <v>26</v>
      </c>
      <c r="D61" t="s">
        <v>27</v>
      </c>
      <c r="E61" t="s">
        <v>31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row>
    <row r="62" spans="1:17" x14ac:dyDescent="0.3">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3">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
      <c r="A65" t="s">
        <v>99</v>
      </c>
      <c r="B65" t="s">
        <v>18</v>
      </c>
      <c r="C65" t="s">
        <v>19</v>
      </c>
      <c r="D65" t="s">
        <v>20</v>
      </c>
      <c r="E65" t="s">
        <v>31</v>
      </c>
      <c r="F65" t="s">
        <v>36</v>
      </c>
      <c r="G65">
        <v>15.81</v>
      </c>
      <c r="H65">
        <v>10</v>
      </c>
      <c r="I65">
        <v>7.9050000000000002</v>
      </c>
      <c r="J65">
        <v>166.005</v>
      </c>
      <c r="K65" s="1">
        <v>43530</v>
      </c>
      <c r="L65" s="2">
        <v>0.51875000000000004</v>
      </c>
      <c r="M65" t="s">
        <v>33</v>
      </c>
      <c r="N65">
        <v>158.1</v>
      </c>
      <c r="O65">
        <v>4.7619047620000003</v>
      </c>
      <c r="P65">
        <v>7.9050000000000002</v>
      </c>
      <c r="Q65">
        <v>8.6</v>
      </c>
    </row>
    <row r="66" spans="1:17" x14ac:dyDescent="0.3">
      <c r="A66" t="s">
        <v>100</v>
      </c>
      <c r="B66" t="s">
        <v>42</v>
      </c>
      <c r="C66" t="s">
        <v>43</v>
      </c>
      <c r="D66" t="s">
        <v>20</v>
      </c>
      <c r="E66" t="s">
        <v>31</v>
      </c>
      <c r="F66" t="s">
        <v>22</v>
      </c>
      <c r="G66">
        <v>75.739999999999995</v>
      </c>
      <c r="H66">
        <v>4</v>
      </c>
      <c r="I66">
        <v>15.148</v>
      </c>
      <c r="J66">
        <v>318.108</v>
      </c>
      <c r="K66" s="1">
        <v>43510</v>
      </c>
      <c r="L66" s="2">
        <v>0.60763888888888884</v>
      </c>
      <c r="M66" t="s">
        <v>29</v>
      </c>
      <c r="N66">
        <v>302.95999999999998</v>
      </c>
      <c r="O66">
        <v>4.7619047620000003</v>
      </c>
      <c r="P66">
        <v>15.148</v>
      </c>
      <c r="Q66">
        <v>7.6</v>
      </c>
    </row>
    <row r="67" spans="1:17" x14ac:dyDescent="0.3">
      <c r="A67" t="s">
        <v>101</v>
      </c>
      <c r="B67" t="s">
        <v>18</v>
      </c>
      <c r="C67" t="s">
        <v>19</v>
      </c>
      <c r="D67" t="s">
        <v>20</v>
      </c>
      <c r="E67" t="s">
        <v>31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row>
    <row r="68" spans="1:17" x14ac:dyDescent="0.3">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3">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3">
      <c r="A74" t="s">
        <v>108</v>
      </c>
      <c r="B74" t="s">
        <v>42</v>
      </c>
      <c r="C74" t="s">
        <v>43</v>
      </c>
      <c r="D74" t="s">
        <v>20</v>
      </c>
      <c r="E74" t="s">
        <v>21</v>
      </c>
      <c r="F74" t="s">
        <v>44</v>
      </c>
      <c r="G74">
        <v>48.52</v>
      </c>
      <c r="H74">
        <v>3</v>
      </c>
      <c r="I74">
        <v>7.2779999999999996</v>
      </c>
      <c r="J74">
        <v>152.83799999999999</v>
      </c>
      <c r="K74" s="1">
        <v>43529</v>
      </c>
      <c r="L74" s="2">
        <v>0.76180555555555551</v>
      </c>
      <c r="M74" t="s">
        <v>23</v>
      </c>
      <c r="N74">
        <v>145.56</v>
      </c>
      <c r="O74">
        <v>4.7619047620000003</v>
      </c>
      <c r="P74">
        <v>7.2779999999999996</v>
      </c>
      <c r="Q74">
        <v>4</v>
      </c>
    </row>
    <row r="75" spans="1:17" x14ac:dyDescent="0.3">
      <c r="A75" t="s">
        <v>109</v>
      </c>
      <c r="B75" t="s">
        <v>25</v>
      </c>
      <c r="C75" t="s">
        <v>26</v>
      </c>
      <c r="D75" t="s">
        <v>27</v>
      </c>
      <c r="E75" t="s">
        <v>21</v>
      </c>
      <c r="F75" t="s">
        <v>28</v>
      </c>
      <c r="G75">
        <v>75.91</v>
      </c>
      <c r="H75">
        <v>6</v>
      </c>
      <c r="I75">
        <v>22.773</v>
      </c>
      <c r="J75">
        <v>478.233</v>
      </c>
      <c r="K75" s="1">
        <v>43533</v>
      </c>
      <c r="L75" s="2">
        <v>0.76458333333333328</v>
      </c>
      <c r="M75" t="s">
        <v>29</v>
      </c>
      <c r="N75">
        <v>455.46</v>
      </c>
      <c r="O75">
        <v>4.7619047620000003</v>
      </c>
      <c r="P75">
        <v>22.773</v>
      </c>
      <c r="Q75">
        <v>8.6999999999999993</v>
      </c>
    </row>
    <row r="76" spans="1:17" x14ac:dyDescent="0.3">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3">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3">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3">
      <c r="A80" t="s">
        <v>114</v>
      </c>
      <c r="B80" t="s">
        <v>25</v>
      </c>
      <c r="C80" t="s">
        <v>26</v>
      </c>
      <c r="D80" t="s">
        <v>20</v>
      </c>
      <c r="E80" t="s">
        <v>21</v>
      </c>
      <c r="F80" t="s">
        <v>44</v>
      </c>
      <c r="G80">
        <v>78.31</v>
      </c>
      <c r="H80">
        <v>10</v>
      </c>
      <c r="I80">
        <v>39.155000000000001</v>
      </c>
      <c r="J80">
        <v>822.255</v>
      </c>
      <c r="K80" s="1">
        <v>43529</v>
      </c>
      <c r="L80" s="2">
        <v>0.68333333333333335</v>
      </c>
      <c r="M80" t="s">
        <v>23</v>
      </c>
      <c r="N80">
        <v>783.1</v>
      </c>
      <c r="O80">
        <v>4.7619047620000003</v>
      </c>
      <c r="P80">
        <v>39.155000000000001</v>
      </c>
      <c r="Q80">
        <v>6.6</v>
      </c>
    </row>
    <row r="81" spans="1:17" x14ac:dyDescent="0.3">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
      <c r="A82" t="s">
        <v>116</v>
      </c>
      <c r="B82" t="s">
        <v>25</v>
      </c>
      <c r="C82" t="s">
        <v>26</v>
      </c>
      <c r="D82" t="s">
        <v>27</v>
      </c>
      <c r="E82" t="s">
        <v>21</v>
      </c>
      <c r="F82" t="s">
        <v>22</v>
      </c>
      <c r="G82">
        <v>99.19</v>
      </c>
      <c r="H82">
        <v>6</v>
      </c>
      <c r="I82">
        <v>29.757000000000001</v>
      </c>
      <c r="J82">
        <v>624.89700000000005</v>
      </c>
      <c r="K82" s="1">
        <v>43486</v>
      </c>
      <c r="L82" s="2">
        <v>0.61250000000000004</v>
      </c>
      <c r="M82" t="s">
        <v>33</v>
      </c>
      <c r="N82">
        <v>595.14</v>
      </c>
      <c r="O82">
        <v>4.7619047620000003</v>
      </c>
      <c r="P82">
        <v>29.757000000000001</v>
      </c>
      <c r="Q82">
        <v>5.5</v>
      </c>
    </row>
    <row r="83" spans="1:17" x14ac:dyDescent="0.3">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3">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3">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
      <c r="A87" t="s">
        <v>121</v>
      </c>
      <c r="B87" t="s">
        <v>25</v>
      </c>
      <c r="C87" t="s">
        <v>26</v>
      </c>
      <c r="D87" t="s">
        <v>27</v>
      </c>
      <c r="E87" t="s">
        <v>21</v>
      </c>
      <c r="F87" t="s">
        <v>36</v>
      </c>
      <c r="G87">
        <v>83.06</v>
      </c>
      <c r="H87">
        <v>7</v>
      </c>
      <c r="I87">
        <v>29.071000000000002</v>
      </c>
      <c r="J87">
        <v>610.49099999999999</v>
      </c>
      <c r="K87" s="1">
        <v>43529</v>
      </c>
      <c r="L87" s="2">
        <v>0.60486111111111107</v>
      </c>
      <c r="M87" t="s">
        <v>23</v>
      </c>
      <c r="N87">
        <v>581.41999999999996</v>
      </c>
      <c r="O87">
        <v>4.7619047620000003</v>
      </c>
      <c r="P87">
        <v>29.071000000000002</v>
      </c>
      <c r="Q87">
        <v>4</v>
      </c>
    </row>
    <row r="88" spans="1:17" x14ac:dyDescent="0.3">
      <c r="A88" t="s">
        <v>122</v>
      </c>
      <c r="B88" t="s">
        <v>25</v>
      </c>
      <c r="C88" t="s">
        <v>26</v>
      </c>
      <c r="D88" t="s">
        <v>27</v>
      </c>
      <c r="E88" t="s">
        <v>31</v>
      </c>
      <c r="F88" t="s">
        <v>46</v>
      </c>
      <c r="G88">
        <v>76.52</v>
      </c>
      <c r="H88">
        <v>5</v>
      </c>
      <c r="I88">
        <v>19.13</v>
      </c>
      <c r="J88">
        <v>401.73</v>
      </c>
      <c r="K88" s="1">
        <v>43549</v>
      </c>
      <c r="L88" s="2">
        <v>0.43263888888888891</v>
      </c>
      <c r="M88" t="s">
        <v>29</v>
      </c>
      <c r="N88">
        <v>382.6</v>
      </c>
      <c r="O88">
        <v>4.7619047620000003</v>
      </c>
      <c r="P88">
        <v>19.13</v>
      </c>
      <c r="Q88">
        <v>9.9</v>
      </c>
    </row>
    <row r="89" spans="1:17" x14ac:dyDescent="0.3">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3">
      <c r="A90" t="s">
        <v>124</v>
      </c>
      <c r="B90" t="s">
        <v>18</v>
      </c>
      <c r="C90" t="s">
        <v>19</v>
      </c>
      <c r="D90" t="s">
        <v>27</v>
      </c>
      <c r="E90" t="s">
        <v>31</v>
      </c>
      <c r="F90" t="s">
        <v>36</v>
      </c>
      <c r="G90">
        <v>42.47</v>
      </c>
      <c r="H90">
        <v>1</v>
      </c>
      <c r="I90">
        <v>2.1234999999999999</v>
      </c>
      <c r="J90">
        <v>44.593499999999999</v>
      </c>
      <c r="K90" s="1">
        <v>43467</v>
      </c>
      <c r="L90" s="2">
        <v>0.70625000000000004</v>
      </c>
      <c r="M90" t="s">
        <v>29</v>
      </c>
      <c r="N90">
        <v>42.47</v>
      </c>
      <c r="O90">
        <v>4.7619047620000003</v>
      </c>
      <c r="P90">
        <v>2.1234999999999999</v>
      </c>
      <c r="Q90">
        <v>5.7</v>
      </c>
    </row>
    <row r="91" spans="1:17" x14ac:dyDescent="0.3">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
      <c r="A92" t="s">
        <v>126</v>
      </c>
      <c r="B92" t="s">
        <v>25</v>
      </c>
      <c r="C92" t="s">
        <v>26</v>
      </c>
      <c r="D92" t="s">
        <v>20</v>
      </c>
      <c r="E92" t="s">
        <v>21</v>
      </c>
      <c r="F92" t="s">
        <v>32</v>
      </c>
      <c r="G92">
        <v>47.38</v>
      </c>
      <c r="H92">
        <v>4</v>
      </c>
      <c r="I92">
        <v>9.4760000000000009</v>
      </c>
      <c r="J92">
        <v>198.99600000000001</v>
      </c>
      <c r="K92" s="1">
        <v>43488</v>
      </c>
      <c r="L92" s="2">
        <v>0.43402777777777779</v>
      </c>
      <c r="M92" t="s">
        <v>29</v>
      </c>
      <c r="N92">
        <v>189.52</v>
      </c>
      <c r="O92">
        <v>4.7619047620000003</v>
      </c>
      <c r="P92">
        <v>9.4760000000000009</v>
      </c>
      <c r="Q92">
        <v>7.1</v>
      </c>
    </row>
    <row r="93" spans="1:17" x14ac:dyDescent="0.3">
      <c r="A93" t="s">
        <v>127</v>
      </c>
      <c r="B93" t="s">
        <v>25</v>
      </c>
      <c r="C93" t="s">
        <v>26</v>
      </c>
      <c r="D93" t="s">
        <v>27</v>
      </c>
      <c r="E93" t="s">
        <v>21</v>
      </c>
      <c r="F93" t="s">
        <v>36</v>
      </c>
      <c r="G93">
        <v>44.86</v>
      </c>
      <c r="H93">
        <v>10</v>
      </c>
      <c r="I93">
        <v>22.43</v>
      </c>
      <c r="J93">
        <v>471.03</v>
      </c>
      <c r="K93" s="1">
        <v>43491</v>
      </c>
      <c r="L93" s="2">
        <v>0.82916666666666672</v>
      </c>
      <c r="M93" t="s">
        <v>23</v>
      </c>
      <c r="N93">
        <v>448.6</v>
      </c>
      <c r="O93">
        <v>4.7619047620000003</v>
      </c>
      <c r="P93">
        <v>22.43</v>
      </c>
      <c r="Q93">
        <v>8.1999999999999993</v>
      </c>
    </row>
    <row r="94" spans="1:17" x14ac:dyDescent="0.3">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3">
      <c r="A96" t="s">
        <v>130</v>
      </c>
      <c r="B96" t="s">
        <v>25</v>
      </c>
      <c r="C96" t="s">
        <v>26</v>
      </c>
      <c r="D96" t="s">
        <v>27</v>
      </c>
      <c r="E96" t="s">
        <v>31</v>
      </c>
      <c r="F96" t="s">
        <v>22</v>
      </c>
      <c r="G96">
        <v>89.75</v>
      </c>
      <c r="H96">
        <v>1</v>
      </c>
      <c r="I96">
        <v>4.4874999999999998</v>
      </c>
      <c r="J96">
        <v>94.237499999999997</v>
      </c>
      <c r="K96" s="1">
        <v>43502</v>
      </c>
      <c r="L96" s="2">
        <v>0.83680555555555558</v>
      </c>
      <c r="M96" t="s">
        <v>33</v>
      </c>
      <c r="N96">
        <v>89.75</v>
      </c>
      <c r="O96">
        <v>4.7619047620000003</v>
      </c>
      <c r="P96">
        <v>4.4874999999999998</v>
      </c>
      <c r="Q96">
        <v>6.6</v>
      </c>
    </row>
    <row r="97" spans="1:17" x14ac:dyDescent="0.3">
      <c r="A97" t="s">
        <v>131</v>
      </c>
      <c r="B97" t="s">
        <v>18</v>
      </c>
      <c r="C97" t="s">
        <v>19</v>
      </c>
      <c r="D97" t="s">
        <v>27</v>
      </c>
      <c r="E97" t="s">
        <v>31</v>
      </c>
      <c r="F97" t="s">
        <v>28</v>
      </c>
      <c r="G97">
        <v>97.16</v>
      </c>
      <c r="H97">
        <v>1</v>
      </c>
      <c r="I97">
        <v>4.8579999999999997</v>
      </c>
      <c r="J97">
        <v>102.018</v>
      </c>
      <c r="K97" s="1">
        <v>43532</v>
      </c>
      <c r="L97" s="2">
        <v>0.85972222222222228</v>
      </c>
      <c r="M97" t="s">
        <v>23</v>
      </c>
      <c r="N97">
        <v>97.16</v>
      </c>
      <c r="O97">
        <v>4.7619047620000003</v>
      </c>
      <c r="P97">
        <v>4.8579999999999997</v>
      </c>
      <c r="Q97">
        <v>7.2</v>
      </c>
    </row>
    <row r="98" spans="1:17" x14ac:dyDescent="0.3">
      <c r="A98" t="s">
        <v>132</v>
      </c>
      <c r="B98" t="s">
        <v>42</v>
      </c>
      <c r="C98" t="s">
        <v>43</v>
      </c>
      <c r="D98" t="s">
        <v>27</v>
      </c>
      <c r="E98" t="s">
        <v>31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row>
    <row r="99" spans="1:17" x14ac:dyDescent="0.3">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
      <c r="A100" t="s">
        <v>134</v>
      </c>
      <c r="B100" t="s">
        <v>18</v>
      </c>
      <c r="C100" t="s">
        <v>19</v>
      </c>
      <c r="D100" t="s">
        <v>27</v>
      </c>
      <c r="E100" t="s">
        <v>31</v>
      </c>
      <c r="F100" t="s">
        <v>44</v>
      </c>
      <c r="G100">
        <v>52.75</v>
      </c>
      <c r="H100">
        <v>3</v>
      </c>
      <c r="I100">
        <v>7.9124999999999996</v>
      </c>
      <c r="J100">
        <v>166.16249999999999</v>
      </c>
      <c r="K100" s="1">
        <v>43547</v>
      </c>
      <c r="L100" s="2">
        <v>0.42777777777777776</v>
      </c>
      <c r="M100" t="s">
        <v>23</v>
      </c>
      <c r="N100">
        <v>158.25</v>
      </c>
      <c r="O100">
        <v>4.7619047620000003</v>
      </c>
      <c r="P100">
        <v>7.9124999999999996</v>
      </c>
      <c r="Q100">
        <v>9.3000000000000007</v>
      </c>
    </row>
    <row r="101" spans="1:17" x14ac:dyDescent="0.3">
      <c r="A101" t="s">
        <v>135</v>
      </c>
      <c r="B101" t="s">
        <v>42</v>
      </c>
      <c r="C101" t="s">
        <v>43</v>
      </c>
      <c r="D101" t="s">
        <v>27</v>
      </c>
      <c r="E101" t="s">
        <v>31</v>
      </c>
      <c r="F101" t="s">
        <v>32</v>
      </c>
      <c r="G101">
        <v>82.7</v>
      </c>
      <c r="H101">
        <v>6</v>
      </c>
      <c r="I101">
        <v>24.81</v>
      </c>
      <c r="J101">
        <v>521.01</v>
      </c>
      <c r="K101" s="1">
        <v>43529</v>
      </c>
      <c r="L101" s="2">
        <v>0.75972222222222219</v>
      </c>
      <c r="M101" t="s">
        <v>29</v>
      </c>
      <c r="N101">
        <v>496.2</v>
      </c>
      <c r="O101">
        <v>4.7619047620000003</v>
      </c>
      <c r="P101">
        <v>24.81</v>
      </c>
      <c r="Q101">
        <v>7.4</v>
      </c>
    </row>
    <row r="102" spans="1:17" x14ac:dyDescent="0.3">
      <c r="A102" t="s">
        <v>136</v>
      </c>
      <c r="B102" t="s">
        <v>25</v>
      </c>
      <c r="C102" t="s">
        <v>26</v>
      </c>
      <c r="D102" t="s">
        <v>20</v>
      </c>
      <c r="E102" t="s">
        <v>31</v>
      </c>
      <c r="F102" t="s">
        <v>46</v>
      </c>
      <c r="G102">
        <v>48.71</v>
      </c>
      <c r="H102">
        <v>1</v>
      </c>
      <c r="I102">
        <v>2.4355000000000002</v>
      </c>
      <c r="J102">
        <v>51.145499999999998</v>
      </c>
      <c r="K102" s="1">
        <v>43550</v>
      </c>
      <c r="L102" s="2">
        <v>0.80555555555555558</v>
      </c>
      <c r="M102" t="s">
        <v>29</v>
      </c>
      <c r="N102">
        <v>48.71</v>
      </c>
      <c r="O102">
        <v>4.7619047620000003</v>
      </c>
      <c r="P102">
        <v>2.4355000000000002</v>
      </c>
      <c r="Q102">
        <v>4.0999999999999996</v>
      </c>
    </row>
    <row r="103" spans="1:17" x14ac:dyDescent="0.3">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
      <c r="A104" t="s">
        <v>138</v>
      </c>
      <c r="B104" t="s">
        <v>25</v>
      </c>
      <c r="C104" t="s">
        <v>26</v>
      </c>
      <c r="D104" t="s">
        <v>27</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row>
    <row r="105" spans="1:17" x14ac:dyDescent="0.3">
      <c r="A105" t="s">
        <v>139</v>
      </c>
      <c r="B105" t="s">
        <v>18</v>
      </c>
      <c r="C105" t="s">
        <v>19</v>
      </c>
      <c r="D105" t="s">
        <v>27</v>
      </c>
      <c r="E105" t="s">
        <v>31</v>
      </c>
      <c r="F105" t="s">
        <v>44</v>
      </c>
      <c r="G105">
        <v>58.26</v>
      </c>
      <c r="H105">
        <v>6</v>
      </c>
      <c r="I105">
        <v>17.478000000000002</v>
      </c>
      <c r="J105">
        <v>367.03800000000001</v>
      </c>
      <c r="K105" s="1">
        <v>43552</v>
      </c>
      <c r="L105" s="2">
        <v>0.69722222222222219</v>
      </c>
      <c r="M105" t="s">
        <v>29</v>
      </c>
      <c r="N105">
        <v>349.56</v>
      </c>
      <c r="O105">
        <v>4.7619047620000003</v>
      </c>
      <c r="P105">
        <v>17.478000000000002</v>
      </c>
      <c r="Q105">
        <v>9.9</v>
      </c>
    </row>
    <row r="106" spans="1:17" x14ac:dyDescent="0.3">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
      <c r="A108" t="s">
        <v>142</v>
      </c>
      <c r="B108" t="s">
        <v>25</v>
      </c>
      <c r="C108" t="s">
        <v>26</v>
      </c>
      <c r="D108" t="s">
        <v>27</v>
      </c>
      <c r="E108" t="s">
        <v>31</v>
      </c>
      <c r="F108" t="s">
        <v>46</v>
      </c>
      <c r="G108">
        <v>27.38</v>
      </c>
      <c r="H108">
        <v>6</v>
      </c>
      <c r="I108">
        <v>8.2140000000000004</v>
      </c>
      <c r="J108">
        <v>172.494</v>
      </c>
      <c r="K108" s="1">
        <v>43470</v>
      </c>
      <c r="L108" s="2">
        <v>0.87083333333333335</v>
      </c>
      <c r="M108" t="s">
        <v>33</v>
      </c>
      <c r="N108">
        <v>164.28</v>
      </c>
      <c r="O108">
        <v>4.7619047620000003</v>
      </c>
      <c r="P108">
        <v>8.2140000000000004</v>
      </c>
      <c r="Q108">
        <v>7.9</v>
      </c>
    </row>
    <row r="109" spans="1:17" x14ac:dyDescent="0.3">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
      <c r="A113" t="s">
        <v>147</v>
      </c>
      <c r="B113" t="s">
        <v>25</v>
      </c>
      <c r="C113" t="s">
        <v>26</v>
      </c>
      <c r="D113" t="s">
        <v>20</v>
      </c>
      <c r="E113" t="s">
        <v>21</v>
      </c>
      <c r="F113" t="s">
        <v>22</v>
      </c>
      <c r="G113">
        <v>98.21</v>
      </c>
      <c r="H113">
        <v>3</v>
      </c>
      <c r="I113">
        <v>14.7315</v>
      </c>
      <c r="J113">
        <v>309.36149999999998</v>
      </c>
      <c r="K113" s="1">
        <v>43501</v>
      </c>
      <c r="L113" s="2">
        <v>0.44513888888888886</v>
      </c>
      <c r="M113" t="s">
        <v>33</v>
      </c>
      <c r="N113">
        <v>294.63</v>
      </c>
      <c r="O113">
        <v>4.7619047620000003</v>
      </c>
      <c r="P113">
        <v>14.7315</v>
      </c>
      <c r="Q113">
        <v>7.8</v>
      </c>
    </row>
    <row r="114" spans="1:17" x14ac:dyDescent="0.3">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3">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3">
      <c r="A117" t="s">
        <v>151</v>
      </c>
      <c r="B117" t="s">
        <v>25</v>
      </c>
      <c r="C117" t="s">
        <v>26</v>
      </c>
      <c r="D117" t="s">
        <v>27</v>
      </c>
      <c r="E117" t="s">
        <v>21</v>
      </c>
      <c r="F117" t="s">
        <v>46</v>
      </c>
      <c r="G117">
        <v>27.02</v>
      </c>
      <c r="H117">
        <v>3</v>
      </c>
      <c r="I117">
        <v>4.0529999999999999</v>
      </c>
      <c r="J117">
        <v>85.113</v>
      </c>
      <c r="K117" s="1">
        <v>43526</v>
      </c>
      <c r="L117" s="2">
        <v>0.54236111111111107</v>
      </c>
      <c r="M117" t="s">
        <v>33</v>
      </c>
      <c r="N117">
        <v>81.06</v>
      </c>
      <c r="O117">
        <v>4.7619047620000003</v>
      </c>
      <c r="P117">
        <v>4.0529999999999999</v>
      </c>
      <c r="Q117">
        <v>7.1</v>
      </c>
    </row>
    <row r="118" spans="1:17" x14ac:dyDescent="0.3">
      <c r="A118" t="s">
        <v>152</v>
      </c>
      <c r="B118" t="s">
        <v>42</v>
      </c>
      <c r="C118" t="s">
        <v>43</v>
      </c>
      <c r="D118" t="s">
        <v>20</v>
      </c>
      <c r="E118" t="s">
        <v>31</v>
      </c>
      <c r="F118" t="s">
        <v>46</v>
      </c>
      <c r="G118">
        <v>21.94</v>
      </c>
      <c r="H118">
        <v>5</v>
      </c>
      <c r="I118">
        <v>5.4850000000000003</v>
      </c>
      <c r="J118">
        <v>115.185</v>
      </c>
      <c r="K118" s="1">
        <v>43529</v>
      </c>
      <c r="L118" s="2">
        <v>0.52013888888888893</v>
      </c>
      <c r="M118" t="s">
        <v>23</v>
      </c>
      <c r="N118">
        <v>109.7</v>
      </c>
      <c r="O118">
        <v>4.7619047620000003</v>
      </c>
      <c r="P118">
        <v>5.4850000000000003</v>
      </c>
      <c r="Q118">
        <v>5.3</v>
      </c>
    </row>
    <row r="119" spans="1:17" x14ac:dyDescent="0.3">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3">
      <c r="A121" t="s">
        <v>155</v>
      </c>
      <c r="B121" t="s">
        <v>42</v>
      </c>
      <c r="C121" t="s">
        <v>43</v>
      </c>
      <c r="D121" t="s">
        <v>27</v>
      </c>
      <c r="E121" t="s">
        <v>31</v>
      </c>
      <c r="F121" t="s">
        <v>32</v>
      </c>
      <c r="G121">
        <v>53.44</v>
      </c>
      <c r="H121">
        <v>2</v>
      </c>
      <c r="I121">
        <v>5.3440000000000003</v>
      </c>
      <c r="J121">
        <v>112.224</v>
      </c>
      <c r="K121" s="1">
        <v>43485</v>
      </c>
      <c r="L121" s="2">
        <v>0.85972222222222228</v>
      </c>
      <c r="M121" t="s">
        <v>23</v>
      </c>
      <c r="N121">
        <v>106.88</v>
      </c>
      <c r="O121">
        <v>4.7619047620000003</v>
      </c>
      <c r="P121">
        <v>5.3440000000000003</v>
      </c>
      <c r="Q121">
        <v>4.0999999999999996</v>
      </c>
    </row>
    <row r="122" spans="1:17" x14ac:dyDescent="0.3">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3">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3">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3">
      <c r="A125" t="s">
        <v>159</v>
      </c>
      <c r="B125" t="s">
        <v>25</v>
      </c>
      <c r="C125" t="s">
        <v>26</v>
      </c>
      <c r="D125" t="s">
        <v>20</v>
      </c>
      <c r="E125" t="s">
        <v>31</v>
      </c>
      <c r="F125" t="s">
        <v>32</v>
      </c>
      <c r="G125">
        <v>63.91</v>
      </c>
      <c r="H125">
        <v>8</v>
      </c>
      <c r="I125">
        <v>25.564</v>
      </c>
      <c r="J125">
        <v>536.84400000000005</v>
      </c>
      <c r="K125" s="1">
        <v>43537</v>
      </c>
      <c r="L125" s="2">
        <v>0.82777777777777772</v>
      </c>
      <c r="M125" t="s">
        <v>33</v>
      </c>
      <c r="N125">
        <v>511.28</v>
      </c>
      <c r="O125">
        <v>4.7619047620000003</v>
      </c>
      <c r="P125">
        <v>25.564</v>
      </c>
      <c r="Q125">
        <v>4.5999999999999996</v>
      </c>
    </row>
    <row r="126" spans="1:17" x14ac:dyDescent="0.3">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3">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3">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3">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
      <c r="A135" t="s">
        <v>169</v>
      </c>
      <c r="B135" t="s">
        <v>42</v>
      </c>
      <c r="C135" t="s">
        <v>43</v>
      </c>
      <c r="D135" t="s">
        <v>20</v>
      </c>
      <c r="E135" t="s">
        <v>31</v>
      </c>
      <c r="F135" t="s">
        <v>28</v>
      </c>
      <c r="G135">
        <v>87.45</v>
      </c>
      <c r="H135">
        <v>6</v>
      </c>
      <c r="I135">
        <v>26.234999999999999</v>
      </c>
      <c r="J135">
        <v>550.93499999999995</v>
      </c>
      <c r="K135" s="1">
        <v>43513</v>
      </c>
      <c r="L135" s="2">
        <v>0.61111111111111116</v>
      </c>
      <c r="M135" t="s">
        <v>33</v>
      </c>
      <c r="N135">
        <v>524.70000000000005</v>
      </c>
      <c r="O135">
        <v>4.7619047620000003</v>
      </c>
      <c r="P135">
        <v>26.234999999999999</v>
      </c>
      <c r="Q135">
        <v>8.8000000000000007</v>
      </c>
    </row>
    <row r="136" spans="1:17" x14ac:dyDescent="0.3">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3">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3">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3">
      <c r="A143" t="s">
        <v>177</v>
      </c>
      <c r="B143" t="s">
        <v>25</v>
      </c>
      <c r="C143" t="s">
        <v>26</v>
      </c>
      <c r="D143" t="s">
        <v>20</v>
      </c>
      <c r="E143" t="s">
        <v>31</v>
      </c>
      <c r="F143" t="s">
        <v>22</v>
      </c>
      <c r="G143">
        <v>90.5</v>
      </c>
      <c r="H143">
        <v>10</v>
      </c>
      <c r="I143">
        <v>45.25</v>
      </c>
      <c r="J143">
        <v>950.25</v>
      </c>
      <c r="K143" s="1">
        <v>43490</v>
      </c>
      <c r="L143" s="2">
        <v>0.57499999999999996</v>
      </c>
      <c r="M143" t="s">
        <v>29</v>
      </c>
      <c r="N143">
        <v>905</v>
      </c>
      <c r="O14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row>
    <row r="145" spans="1:17" x14ac:dyDescent="0.3">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3">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3">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3">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3">
      <c r="A151" t="s">
        <v>185</v>
      </c>
      <c r="B151" t="s">
        <v>18</v>
      </c>
      <c r="C151" t="s">
        <v>19</v>
      </c>
      <c r="D151" t="s">
        <v>27</v>
      </c>
      <c r="E151" t="s">
        <v>31</v>
      </c>
      <c r="F151" t="s">
        <v>22</v>
      </c>
      <c r="G151">
        <v>32.46</v>
      </c>
      <c r="H151">
        <v>8</v>
      </c>
      <c r="I151">
        <v>12.984</v>
      </c>
      <c r="J151">
        <v>272.66399999999999</v>
      </c>
      <c r="K151" s="1">
        <v>43551</v>
      </c>
      <c r="L151" s="2">
        <v>0.57499999999999996</v>
      </c>
      <c r="M151" t="s">
        <v>33</v>
      </c>
      <c r="N151">
        <v>259.68</v>
      </c>
      <c r="O151">
        <v>4.7619047620000003</v>
      </c>
      <c r="P151">
        <v>12.984</v>
      </c>
      <c r="Q151">
        <v>4.9000000000000004</v>
      </c>
    </row>
    <row r="152" spans="1:17" x14ac:dyDescent="0.3">
      <c r="A152" t="s">
        <v>186</v>
      </c>
      <c r="B152" t="s">
        <v>42</v>
      </c>
      <c r="C152" t="s">
        <v>43</v>
      </c>
      <c r="D152" t="s">
        <v>20</v>
      </c>
      <c r="E152" t="s">
        <v>21</v>
      </c>
      <c r="F152" t="s">
        <v>46</v>
      </c>
      <c r="G152">
        <v>91.54</v>
      </c>
      <c r="H152">
        <v>4</v>
      </c>
      <c r="I152">
        <v>18.308</v>
      </c>
      <c r="J152">
        <v>384.46800000000002</v>
      </c>
      <c r="K152" s="1">
        <v>43547</v>
      </c>
      <c r="L152" s="2">
        <v>0.80555555555555558</v>
      </c>
      <c r="M152" t="s">
        <v>33</v>
      </c>
      <c r="N152">
        <v>366.16</v>
      </c>
      <c r="O152">
        <v>4.7619047620000003</v>
      </c>
      <c r="P152">
        <v>18.308</v>
      </c>
      <c r="Q152">
        <v>4.8</v>
      </c>
    </row>
    <row r="153" spans="1:17" x14ac:dyDescent="0.3">
      <c r="A153" t="s">
        <v>187</v>
      </c>
      <c r="B153" t="s">
        <v>25</v>
      </c>
      <c r="C153" t="s">
        <v>26</v>
      </c>
      <c r="D153" t="s">
        <v>20</v>
      </c>
      <c r="E153" t="s">
        <v>31</v>
      </c>
      <c r="F153" t="s">
        <v>36</v>
      </c>
      <c r="G153">
        <v>34.56</v>
      </c>
      <c r="H153">
        <v>7</v>
      </c>
      <c r="I153">
        <v>12.096</v>
      </c>
      <c r="J153">
        <v>254.01599999999999</v>
      </c>
      <c r="K153" s="1">
        <v>43535</v>
      </c>
      <c r="L153" s="2">
        <v>0.67152777777777772</v>
      </c>
      <c r="M153" t="s">
        <v>33</v>
      </c>
      <c r="N153">
        <v>241.92</v>
      </c>
      <c r="O153">
        <v>4.7619047620000003</v>
      </c>
      <c r="P153">
        <v>12.096</v>
      </c>
      <c r="Q153">
        <v>7.3</v>
      </c>
    </row>
    <row r="154" spans="1:17" x14ac:dyDescent="0.3">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3">
      <c r="A155" t="s">
        <v>189</v>
      </c>
      <c r="B155" t="s">
        <v>25</v>
      </c>
      <c r="C155" t="s">
        <v>26</v>
      </c>
      <c r="D155" t="s">
        <v>27</v>
      </c>
      <c r="E155" t="s">
        <v>21</v>
      </c>
      <c r="F155" t="s">
        <v>44</v>
      </c>
      <c r="G155">
        <v>16.48</v>
      </c>
      <c r="H155">
        <v>6</v>
      </c>
      <c r="I155">
        <v>4.944</v>
      </c>
      <c r="J155">
        <v>103.824</v>
      </c>
      <c r="K155" s="1">
        <v>43503</v>
      </c>
      <c r="L155" s="2">
        <v>0.76597222222222228</v>
      </c>
      <c r="M155" t="s">
        <v>23</v>
      </c>
      <c r="N155">
        <v>98.88</v>
      </c>
      <c r="O155">
        <v>4.7619047620000003</v>
      </c>
      <c r="P155">
        <v>4.944</v>
      </c>
      <c r="Q155">
        <v>9.9</v>
      </c>
    </row>
    <row r="156" spans="1:17" x14ac:dyDescent="0.3">
      <c r="A156" t="s">
        <v>190</v>
      </c>
      <c r="B156" t="s">
        <v>25</v>
      </c>
      <c r="C156" t="s">
        <v>26</v>
      </c>
      <c r="D156" t="s">
        <v>27</v>
      </c>
      <c r="E156" t="s">
        <v>21</v>
      </c>
      <c r="F156" t="s">
        <v>36</v>
      </c>
      <c r="G156">
        <v>80.97</v>
      </c>
      <c r="H156">
        <v>8</v>
      </c>
      <c r="I156">
        <v>32.387999999999998</v>
      </c>
      <c r="J156">
        <v>680.14800000000002</v>
      </c>
      <c r="K156" s="1">
        <v>43493</v>
      </c>
      <c r="L156" s="2">
        <v>0.54513888888888884</v>
      </c>
      <c r="M156" t="s">
        <v>29</v>
      </c>
      <c r="N156">
        <v>647.76</v>
      </c>
      <c r="O156">
        <v>4.7619047620000003</v>
      </c>
      <c r="P156">
        <v>32.387999999999998</v>
      </c>
      <c r="Q156">
        <v>9.3000000000000007</v>
      </c>
    </row>
    <row r="157" spans="1:17" x14ac:dyDescent="0.3">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3">
      <c r="A158" t="s">
        <v>192</v>
      </c>
      <c r="B158" t="s">
        <v>42</v>
      </c>
      <c r="C158" t="s">
        <v>43</v>
      </c>
      <c r="D158" t="s">
        <v>20</v>
      </c>
      <c r="E158" t="s">
        <v>31</v>
      </c>
      <c r="F158" t="s">
        <v>28</v>
      </c>
      <c r="G158">
        <v>72.17</v>
      </c>
      <c r="H158">
        <v>1</v>
      </c>
      <c r="I158">
        <v>3.6084999999999998</v>
      </c>
      <c r="J158">
        <v>75.778499999999994</v>
      </c>
      <c r="K158" s="1">
        <v>43469</v>
      </c>
      <c r="L158" s="2">
        <v>0.81944444444444442</v>
      </c>
      <c r="M158" t="s">
        <v>29</v>
      </c>
      <c r="N158">
        <v>72.17</v>
      </c>
      <c r="O158">
        <v>4.7619047620000003</v>
      </c>
      <c r="P158">
        <v>3.6084999999999998</v>
      </c>
      <c r="Q158">
        <v>6.1</v>
      </c>
    </row>
    <row r="159" spans="1:17" x14ac:dyDescent="0.3">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3">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
      <c r="A164" t="s">
        <v>198</v>
      </c>
      <c r="B164" t="s">
        <v>18</v>
      </c>
      <c r="C164" t="s">
        <v>19</v>
      </c>
      <c r="D164" t="s">
        <v>27</v>
      </c>
      <c r="E164" t="s">
        <v>31</v>
      </c>
      <c r="F164" t="s">
        <v>44</v>
      </c>
      <c r="G164">
        <v>45.79</v>
      </c>
      <c r="H164">
        <v>7</v>
      </c>
      <c r="I164">
        <v>16.026499999999999</v>
      </c>
      <c r="J164">
        <v>336.55650000000003</v>
      </c>
      <c r="K164" s="1">
        <v>43537</v>
      </c>
      <c r="L164" s="2">
        <v>0.82222222222222219</v>
      </c>
      <c r="M164" t="s">
        <v>33</v>
      </c>
      <c r="N164">
        <v>320.52999999999997</v>
      </c>
      <c r="O164">
        <v>4.7619047620000003</v>
      </c>
      <c r="P164">
        <v>16.026499999999999</v>
      </c>
      <c r="Q164">
        <v>7</v>
      </c>
    </row>
    <row r="165" spans="1:17" x14ac:dyDescent="0.3">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3">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3">
      <c r="A169" t="s">
        <v>203</v>
      </c>
      <c r="B169" t="s">
        <v>18</v>
      </c>
      <c r="C169" t="s">
        <v>19</v>
      </c>
      <c r="D169" t="s">
        <v>27</v>
      </c>
      <c r="E169" t="s">
        <v>31</v>
      </c>
      <c r="F169" t="s">
        <v>46</v>
      </c>
      <c r="G169">
        <v>98.98</v>
      </c>
      <c r="H169">
        <v>10</v>
      </c>
      <c r="I169">
        <v>49.49</v>
      </c>
      <c r="J169">
        <v>1039.29</v>
      </c>
      <c r="K169" s="1">
        <v>43504</v>
      </c>
      <c r="L169" s="2">
        <v>0.68055555555555558</v>
      </c>
      <c r="M169" t="s">
        <v>33</v>
      </c>
      <c r="N169">
        <v>989.8</v>
      </c>
      <c r="O169">
        <v>4.7619047620000003</v>
      </c>
      <c r="P169">
        <v>49.49</v>
      </c>
      <c r="Q169">
        <v>8.6999999999999993</v>
      </c>
    </row>
    <row r="170" spans="1:17" x14ac:dyDescent="0.3">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3">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3">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3">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3">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
      <c r="A178" t="s">
        <v>212</v>
      </c>
      <c r="B178" t="s">
        <v>18</v>
      </c>
      <c r="C178" t="s">
        <v>19</v>
      </c>
      <c r="D178" t="s">
        <v>20</v>
      </c>
      <c r="E178" t="s">
        <v>31</v>
      </c>
      <c r="F178" t="s">
        <v>44</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3">
      <c r="A180" t="s">
        <v>214</v>
      </c>
      <c r="B180" t="s">
        <v>18</v>
      </c>
      <c r="C180" t="s">
        <v>19</v>
      </c>
      <c r="D180" t="s">
        <v>27</v>
      </c>
      <c r="E180" t="s">
        <v>31</v>
      </c>
      <c r="F180" t="s">
        <v>44</v>
      </c>
      <c r="G180">
        <v>73.88</v>
      </c>
      <c r="H180">
        <v>6</v>
      </c>
      <c r="I180">
        <v>22.164000000000001</v>
      </c>
      <c r="J180">
        <v>465.44400000000002</v>
      </c>
      <c r="K180" s="1">
        <v>43547</v>
      </c>
      <c r="L180" s="2">
        <v>0.80277777777777781</v>
      </c>
      <c r="M180" t="s">
        <v>23</v>
      </c>
      <c r="N180">
        <v>443.28</v>
      </c>
      <c r="O180">
        <v>4.7619047620000003</v>
      </c>
      <c r="P180">
        <v>22.164000000000001</v>
      </c>
      <c r="Q180">
        <v>4.4000000000000004</v>
      </c>
    </row>
    <row r="181" spans="1:17" x14ac:dyDescent="0.3">
      <c r="A181" t="s">
        <v>215</v>
      </c>
      <c r="B181" t="s">
        <v>25</v>
      </c>
      <c r="C181" t="s">
        <v>26</v>
      </c>
      <c r="D181" t="s">
        <v>20</v>
      </c>
      <c r="E181" t="s">
        <v>31</v>
      </c>
      <c r="F181" t="s">
        <v>22</v>
      </c>
      <c r="G181">
        <v>86.8</v>
      </c>
      <c r="H181">
        <v>3</v>
      </c>
      <c r="I181">
        <v>13.02</v>
      </c>
      <c r="J181">
        <v>273.42</v>
      </c>
      <c r="K181" s="1">
        <v>43493</v>
      </c>
      <c r="L181" s="2">
        <v>0.69930555555555551</v>
      </c>
      <c r="M181" t="s">
        <v>23</v>
      </c>
      <c r="N181">
        <v>260.39999999999998</v>
      </c>
      <c r="O181">
        <v>4.7619047620000003</v>
      </c>
      <c r="P181">
        <v>13.02</v>
      </c>
      <c r="Q181">
        <v>9.9</v>
      </c>
    </row>
    <row r="182" spans="1:17" x14ac:dyDescent="0.3">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
      <c r="A183" t="s">
        <v>217</v>
      </c>
      <c r="B183" t="s">
        <v>25</v>
      </c>
      <c r="C183" t="s">
        <v>26</v>
      </c>
      <c r="D183" t="s">
        <v>20</v>
      </c>
      <c r="E183" t="s">
        <v>31</v>
      </c>
      <c r="F183" t="s">
        <v>44</v>
      </c>
      <c r="G183">
        <v>38.47</v>
      </c>
      <c r="H183">
        <v>8</v>
      </c>
      <c r="I183">
        <v>15.388</v>
      </c>
      <c r="J183">
        <v>323.14800000000002</v>
      </c>
      <c r="K183" s="1">
        <v>43488</v>
      </c>
      <c r="L183" s="2">
        <v>0.49375000000000002</v>
      </c>
      <c r="M183" t="s">
        <v>29</v>
      </c>
      <c r="N183">
        <v>307.76</v>
      </c>
      <c r="O183">
        <v>4.7619047620000003</v>
      </c>
      <c r="P183">
        <v>15.388</v>
      </c>
      <c r="Q183">
        <v>7.7</v>
      </c>
    </row>
    <row r="184" spans="1:17" x14ac:dyDescent="0.3">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3">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3">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3">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
      <c r="A191" t="s">
        <v>225</v>
      </c>
      <c r="B191" t="s">
        <v>25</v>
      </c>
      <c r="C191" t="s">
        <v>26</v>
      </c>
      <c r="D191" t="s">
        <v>27</v>
      </c>
      <c r="E191" t="s">
        <v>21</v>
      </c>
      <c r="F191" t="s">
        <v>32</v>
      </c>
      <c r="G191">
        <v>69.81</v>
      </c>
      <c r="H191">
        <v>4</v>
      </c>
      <c r="I191">
        <v>13.962</v>
      </c>
      <c r="J191">
        <v>293.202</v>
      </c>
      <c r="K191" s="1">
        <v>43493</v>
      </c>
      <c r="L191" s="2">
        <v>0.86805555555555558</v>
      </c>
      <c r="M191" t="s">
        <v>33</v>
      </c>
      <c r="N191">
        <v>279.24</v>
      </c>
      <c r="O191">
        <v>4.7619047620000003</v>
      </c>
      <c r="P191">
        <v>13.962</v>
      </c>
      <c r="Q191">
        <v>5.9</v>
      </c>
    </row>
    <row r="192" spans="1:17" x14ac:dyDescent="0.3">
      <c r="A192" t="s">
        <v>226</v>
      </c>
      <c r="B192" t="s">
        <v>42</v>
      </c>
      <c r="C192" t="s">
        <v>43</v>
      </c>
      <c r="D192" t="s">
        <v>27</v>
      </c>
      <c r="E192" t="s">
        <v>21</v>
      </c>
      <c r="F192" t="s">
        <v>32</v>
      </c>
      <c r="G192">
        <v>77.040000000000006</v>
      </c>
      <c r="H192">
        <v>3</v>
      </c>
      <c r="I192">
        <v>11.555999999999999</v>
      </c>
      <c r="J192">
        <v>242.67599999999999</v>
      </c>
      <c r="K192" s="1">
        <v>43507</v>
      </c>
      <c r="L192" s="2">
        <v>0.44374999999999998</v>
      </c>
      <c r="M192" t="s">
        <v>33</v>
      </c>
      <c r="N192">
        <v>231.12</v>
      </c>
      <c r="O192">
        <v>4.7619047620000003</v>
      </c>
      <c r="P192">
        <v>11.555999999999999</v>
      </c>
      <c r="Q192">
        <v>7.2</v>
      </c>
    </row>
    <row r="193" spans="1:17" x14ac:dyDescent="0.3">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
      <c r="A194" t="s">
        <v>228</v>
      </c>
      <c r="B194" t="s">
        <v>25</v>
      </c>
      <c r="C194" t="s">
        <v>26</v>
      </c>
      <c r="D194" t="s">
        <v>27</v>
      </c>
      <c r="E194" t="s">
        <v>21</v>
      </c>
      <c r="F194" t="s">
        <v>44</v>
      </c>
      <c r="G194">
        <v>87.8</v>
      </c>
      <c r="H194">
        <v>9</v>
      </c>
      <c r="I194">
        <v>39.51</v>
      </c>
      <c r="J194">
        <v>829.71</v>
      </c>
      <c r="K194" s="1">
        <v>43540</v>
      </c>
      <c r="L194" s="2">
        <v>0.79722222222222228</v>
      </c>
      <c r="M194" t="s">
        <v>29</v>
      </c>
      <c r="N194">
        <v>790.2</v>
      </c>
      <c r="O194">
        <v>4.7619047620000003</v>
      </c>
      <c r="P194">
        <v>39.51</v>
      </c>
      <c r="Q194">
        <v>9.1999999999999993</v>
      </c>
    </row>
    <row r="195" spans="1:17" x14ac:dyDescent="0.3">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3">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3">
      <c r="A200" t="s">
        <v>234</v>
      </c>
      <c r="B200" t="s">
        <v>25</v>
      </c>
      <c r="C200" t="s">
        <v>26</v>
      </c>
      <c r="D200" t="s">
        <v>27</v>
      </c>
      <c r="E200" t="s">
        <v>31</v>
      </c>
      <c r="F200" t="s">
        <v>22</v>
      </c>
      <c r="G200">
        <v>41.5</v>
      </c>
      <c r="H200">
        <v>4</v>
      </c>
      <c r="I200">
        <v>8.3000000000000007</v>
      </c>
      <c r="J200">
        <v>174.3</v>
      </c>
      <c r="K200" s="1">
        <v>43536</v>
      </c>
      <c r="L200" s="2">
        <v>0.83194444444444449</v>
      </c>
      <c r="M200" t="s">
        <v>33</v>
      </c>
      <c r="N200">
        <v>166</v>
      </c>
      <c r="O200">
        <v>4.7619047620000003</v>
      </c>
      <c r="P200">
        <v>8.3000000000000007</v>
      </c>
      <c r="Q200">
        <v>8.1999999999999993</v>
      </c>
    </row>
    <row r="201" spans="1:17" x14ac:dyDescent="0.3">
      <c r="A201" t="s">
        <v>235</v>
      </c>
      <c r="B201" t="s">
        <v>25</v>
      </c>
      <c r="C201" t="s">
        <v>26</v>
      </c>
      <c r="D201" t="s">
        <v>20</v>
      </c>
      <c r="E201" t="s">
        <v>21</v>
      </c>
      <c r="F201" t="s">
        <v>44</v>
      </c>
      <c r="G201">
        <v>71.39</v>
      </c>
      <c r="H201">
        <v>5</v>
      </c>
      <c r="I201">
        <v>17.8475</v>
      </c>
      <c r="J201">
        <v>374.79750000000001</v>
      </c>
      <c r="K201" s="1">
        <v>43513</v>
      </c>
      <c r="L201" s="2">
        <v>0.83125000000000004</v>
      </c>
      <c r="M201" t="s">
        <v>33</v>
      </c>
      <c r="N201">
        <v>356.95</v>
      </c>
      <c r="O201">
        <v>4.7619047620000003</v>
      </c>
      <c r="P201">
        <v>17.8475</v>
      </c>
      <c r="Q201">
        <v>5.5</v>
      </c>
    </row>
    <row r="202" spans="1:17" x14ac:dyDescent="0.3">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3">
      <c r="A203" t="s">
        <v>237</v>
      </c>
      <c r="B203" t="s">
        <v>42</v>
      </c>
      <c r="C203" t="s">
        <v>43</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row>
    <row r="204" spans="1:17" x14ac:dyDescent="0.3">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3">
      <c r="A209" t="s">
        <v>243</v>
      </c>
      <c r="B209" t="s">
        <v>25</v>
      </c>
      <c r="C209" t="s">
        <v>26</v>
      </c>
      <c r="D209" t="s">
        <v>20</v>
      </c>
      <c r="E209" t="s">
        <v>21</v>
      </c>
      <c r="F209" t="s">
        <v>32</v>
      </c>
      <c r="G209">
        <v>28.53</v>
      </c>
      <c r="H209">
        <v>10</v>
      </c>
      <c r="I209">
        <v>14.265000000000001</v>
      </c>
      <c r="J209">
        <v>299.565</v>
      </c>
      <c r="K209" s="1">
        <v>43542</v>
      </c>
      <c r="L209" s="2">
        <v>0.73472222222222228</v>
      </c>
      <c r="M209" t="s">
        <v>23</v>
      </c>
      <c r="N209">
        <v>285.3</v>
      </c>
      <c r="O209">
        <v>4.7619047620000003</v>
      </c>
      <c r="P209">
        <v>14.265000000000001</v>
      </c>
      <c r="Q209">
        <v>7.8</v>
      </c>
    </row>
    <row r="210" spans="1:17" x14ac:dyDescent="0.3">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3">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3">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3">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3">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3">
      <c r="A218" t="s">
        <v>252</v>
      </c>
      <c r="B218" t="s">
        <v>42</v>
      </c>
      <c r="C218" t="s">
        <v>43</v>
      </c>
      <c r="D218" t="s">
        <v>27</v>
      </c>
      <c r="E218" t="s">
        <v>21</v>
      </c>
      <c r="F218" t="s">
        <v>36</v>
      </c>
      <c r="G218">
        <v>24.77</v>
      </c>
      <c r="H218">
        <v>5</v>
      </c>
      <c r="I218">
        <v>6.1924999999999999</v>
      </c>
      <c r="J218">
        <v>130.04249999999999</v>
      </c>
      <c r="K218" s="1">
        <v>43548</v>
      </c>
      <c r="L218" s="2">
        <v>0.76875000000000004</v>
      </c>
      <c r="M218" t="s">
        <v>29</v>
      </c>
      <c r="N218">
        <v>123.85</v>
      </c>
      <c r="O218">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
      <c r="A221" t="s">
        <v>255</v>
      </c>
      <c r="B221" t="s">
        <v>42</v>
      </c>
      <c r="C221" t="s">
        <v>43</v>
      </c>
      <c r="D221" t="s">
        <v>27</v>
      </c>
      <c r="E221" t="s">
        <v>21</v>
      </c>
      <c r="F221" t="s">
        <v>44</v>
      </c>
      <c r="G221">
        <v>57.34</v>
      </c>
      <c r="H221">
        <v>3</v>
      </c>
      <c r="I221">
        <v>8.6010000000000009</v>
      </c>
      <c r="J221">
        <v>180.62100000000001</v>
      </c>
      <c r="K221" s="1">
        <v>43534</v>
      </c>
      <c r="L221" s="2">
        <v>0.79097222222222219</v>
      </c>
      <c r="M221" t="s">
        <v>33</v>
      </c>
      <c r="N221">
        <v>172.02</v>
      </c>
      <c r="O221">
        <v>4.7619047620000003</v>
      </c>
      <c r="P221">
        <v>8.6010000000000009</v>
      </c>
      <c r="Q221">
        <v>7.9</v>
      </c>
    </row>
    <row r="222" spans="1:17" x14ac:dyDescent="0.3">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
      <c r="A223" t="s">
        <v>257</v>
      </c>
      <c r="B223" t="s">
        <v>42</v>
      </c>
      <c r="C223" t="s">
        <v>43</v>
      </c>
      <c r="D223" t="s">
        <v>27</v>
      </c>
      <c r="E223" t="s">
        <v>31</v>
      </c>
      <c r="F223" t="s">
        <v>44</v>
      </c>
      <c r="G223">
        <v>62.08</v>
      </c>
      <c r="H223">
        <v>7</v>
      </c>
      <c r="I223">
        <v>21.728000000000002</v>
      </c>
      <c r="J223">
        <v>456.28800000000001</v>
      </c>
      <c r="K223" s="1">
        <v>43530</v>
      </c>
      <c r="L223" s="2">
        <v>0.57361111111111107</v>
      </c>
      <c r="M223" t="s">
        <v>23</v>
      </c>
      <c r="N223">
        <v>434.56</v>
      </c>
      <c r="O223">
        <v>4.7619047620000003</v>
      </c>
      <c r="P223">
        <v>21.728000000000002</v>
      </c>
      <c r="Q223">
        <v>5.4</v>
      </c>
    </row>
    <row r="224" spans="1:17" x14ac:dyDescent="0.3">
      <c r="A224" t="s">
        <v>258</v>
      </c>
      <c r="B224" t="s">
        <v>25</v>
      </c>
      <c r="C224" t="s">
        <v>26</v>
      </c>
      <c r="D224" t="s">
        <v>27</v>
      </c>
      <c r="E224" t="s">
        <v>31</v>
      </c>
      <c r="F224" t="s">
        <v>28</v>
      </c>
      <c r="G224">
        <v>11.81</v>
      </c>
      <c r="H224">
        <v>5</v>
      </c>
      <c r="I224">
        <v>2.9525000000000001</v>
      </c>
      <c r="J224">
        <v>62.002499999999998</v>
      </c>
      <c r="K224" s="1">
        <v>43513</v>
      </c>
      <c r="L224" s="2">
        <v>0.75416666666666665</v>
      </c>
      <c r="M224" t="s">
        <v>29</v>
      </c>
      <c r="N224">
        <v>59.05</v>
      </c>
      <c r="O224">
        <v>4.7619047620000003</v>
      </c>
      <c r="P224">
        <v>2.9525000000000001</v>
      </c>
      <c r="Q224">
        <v>9.4</v>
      </c>
    </row>
    <row r="225" spans="1:17" x14ac:dyDescent="0.3">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3">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3">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
      <c r="A229" t="s">
        <v>263</v>
      </c>
      <c r="B229" t="s">
        <v>25</v>
      </c>
      <c r="C229" t="s">
        <v>26</v>
      </c>
      <c r="D229" t="s">
        <v>20</v>
      </c>
      <c r="E229" t="s">
        <v>31</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row>
    <row r="230" spans="1:17" x14ac:dyDescent="0.3">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
      <c r="A232" t="s">
        <v>266</v>
      </c>
      <c r="B232" t="s">
        <v>42</v>
      </c>
      <c r="C232" t="s">
        <v>43</v>
      </c>
      <c r="D232" t="s">
        <v>27</v>
      </c>
      <c r="E232" t="s">
        <v>21</v>
      </c>
      <c r="F232" t="s">
        <v>46</v>
      </c>
      <c r="G232">
        <v>81.37</v>
      </c>
      <c r="H232">
        <v>2</v>
      </c>
      <c r="I232">
        <v>8.1370000000000005</v>
      </c>
      <c r="J232">
        <v>170.87700000000001</v>
      </c>
      <c r="K232" s="1">
        <v>43491</v>
      </c>
      <c r="L232" s="2">
        <v>0.81111111111111112</v>
      </c>
      <c r="M232" t="s">
        <v>29</v>
      </c>
      <c r="N232">
        <v>162.74</v>
      </c>
      <c r="O232">
        <v>4.7619047620000003</v>
      </c>
      <c r="P232">
        <v>8.1370000000000005</v>
      </c>
      <c r="Q232">
        <v>6.5</v>
      </c>
    </row>
    <row r="233" spans="1:17" x14ac:dyDescent="0.3">
      <c r="A233" t="s">
        <v>267</v>
      </c>
      <c r="B233" t="s">
        <v>42</v>
      </c>
      <c r="C233" t="s">
        <v>43</v>
      </c>
      <c r="D233" t="s">
        <v>20</v>
      </c>
      <c r="E233" t="s">
        <v>21</v>
      </c>
      <c r="F233" t="s">
        <v>28</v>
      </c>
      <c r="G233">
        <v>10.59</v>
      </c>
      <c r="H233">
        <v>3</v>
      </c>
      <c r="I233">
        <v>1.5885</v>
      </c>
      <c r="J233">
        <v>33.358499999999999</v>
      </c>
      <c r="K233" s="1">
        <v>43536</v>
      </c>
      <c r="L233" s="2">
        <v>0.57777777777777772</v>
      </c>
      <c r="M233" t="s">
        <v>33</v>
      </c>
      <c r="N233">
        <v>31.77</v>
      </c>
      <c r="O233">
        <v>4.7619047620000003</v>
      </c>
      <c r="P233">
        <v>1.5885</v>
      </c>
      <c r="Q233">
        <v>8.6999999999999993</v>
      </c>
    </row>
    <row r="234" spans="1:17" x14ac:dyDescent="0.3">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
      <c r="A235" t="s">
        <v>269</v>
      </c>
      <c r="B235" t="s">
        <v>42</v>
      </c>
      <c r="C235" t="s">
        <v>43</v>
      </c>
      <c r="D235" t="s">
        <v>20</v>
      </c>
      <c r="E235" t="s">
        <v>31</v>
      </c>
      <c r="F235" t="s">
        <v>46</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row>
    <row r="236" spans="1:17" x14ac:dyDescent="0.3">
      <c r="A236" t="s">
        <v>270</v>
      </c>
      <c r="B236" t="s">
        <v>18</v>
      </c>
      <c r="C236" t="s">
        <v>19</v>
      </c>
      <c r="D236" t="s">
        <v>20</v>
      </c>
      <c r="E236" t="s">
        <v>31</v>
      </c>
      <c r="F236" t="s">
        <v>22</v>
      </c>
      <c r="G236">
        <v>51.94</v>
      </c>
      <c r="H236">
        <v>10</v>
      </c>
      <c r="I236">
        <v>25.97</v>
      </c>
      <c r="J236">
        <v>545.37</v>
      </c>
      <c r="K236" s="1">
        <v>43533</v>
      </c>
      <c r="L236" s="2">
        <v>0.76666666666666672</v>
      </c>
      <c r="M236" t="s">
        <v>23</v>
      </c>
      <c r="N236">
        <v>519.4</v>
      </c>
      <c r="O236">
        <v>4.7619047620000003</v>
      </c>
      <c r="P236">
        <v>25.97</v>
      </c>
      <c r="Q236">
        <v>6.5</v>
      </c>
    </row>
    <row r="237" spans="1:17" x14ac:dyDescent="0.3">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
      <c r="A238" t="s">
        <v>272</v>
      </c>
      <c r="B238" t="s">
        <v>25</v>
      </c>
      <c r="C238" t="s">
        <v>26</v>
      </c>
      <c r="D238" t="s">
        <v>27</v>
      </c>
      <c r="E238" t="s">
        <v>31</v>
      </c>
      <c r="F238" t="s">
        <v>22</v>
      </c>
      <c r="G238">
        <v>17.41</v>
      </c>
      <c r="H238">
        <v>5</v>
      </c>
      <c r="I238">
        <v>4.3525</v>
      </c>
      <c r="J238">
        <v>91.402500000000003</v>
      </c>
      <c r="K238" s="1">
        <v>43493</v>
      </c>
      <c r="L238" s="2">
        <v>0.63611111111111107</v>
      </c>
      <c r="M238" t="s">
        <v>33</v>
      </c>
      <c r="N238">
        <v>87.05</v>
      </c>
      <c r="O238">
        <v>4.7619047620000003</v>
      </c>
      <c r="P238">
        <v>4.3525</v>
      </c>
      <c r="Q238">
        <v>4.9000000000000004</v>
      </c>
    </row>
    <row r="239" spans="1:17" x14ac:dyDescent="0.3">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3">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
      <c r="A241" t="s">
        <v>275</v>
      </c>
      <c r="B241" t="s">
        <v>18</v>
      </c>
      <c r="C241" t="s">
        <v>19</v>
      </c>
      <c r="D241" t="s">
        <v>27</v>
      </c>
      <c r="E241" t="s">
        <v>31</v>
      </c>
      <c r="F241" t="s">
        <v>46</v>
      </c>
      <c r="G241">
        <v>89.69</v>
      </c>
      <c r="H241">
        <v>1</v>
      </c>
      <c r="I241">
        <v>4.4844999999999997</v>
      </c>
      <c r="J241">
        <v>94.174499999999995</v>
      </c>
      <c r="K241" s="1">
        <v>43476</v>
      </c>
      <c r="L241" s="2">
        <v>0.47222222222222221</v>
      </c>
      <c r="M241" t="s">
        <v>23</v>
      </c>
      <c r="N241">
        <v>89.69</v>
      </c>
      <c r="O241">
        <v>4.7619047620000003</v>
      </c>
      <c r="P241">
        <v>4.4844999999999997</v>
      </c>
      <c r="Q241">
        <v>4.9000000000000004</v>
      </c>
    </row>
    <row r="242" spans="1:17" x14ac:dyDescent="0.3">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3">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3">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3">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3">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3">
      <c r="A251" t="s">
        <v>285</v>
      </c>
      <c r="B251" t="s">
        <v>42</v>
      </c>
      <c r="C251" t="s">
        <v>43</v>
      </c>
      <c r="D251" t="s">
        <v>27</v>
      </c>
      <c r="E251" t="s">
        <v>31</v>
      </c>
      <c r="F251" t="s">
        <v>44</v>
      </c>
      <c r="G251">
        <v>73.06</v>
      </c>
      <c r="H251">
        <v>7</v>
      </c>
      <c r="I251">
        <v>25.571000000000002</v>
      </c>
      <c r="J251">
        <v>536.99099999999999</v>
      </c>
      <c r="K251" s="1">
        <v>43479</v>
      </c>
      <c r="L251" s="2">
        <v>0.79583333333333328</v>
      </c>
      <c r="M251" t="s">
        <v>33</v>
      </c>
      <c r="N251">
        <v>511.42</v>
      </c>
      <c r="O251">
        <v>4.7619047620000003</v>
      </c>
      <c r="P251">
        <v>25.571000000000002</v>
      </c>
      <c r="Q251">
        <v>4.2</v>
      </c>
    </row>
    <row r="252" spans="1:17" x14ac:dyDescent="0.3">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287</v>
      </c>
      <c r="B253" t="s">
        <v>25</v>
      </c>
      <c r="C253" t="s">
        <v>26</v>
      </c>
      <c r="D253" t="s">
        <v>20</v>
      </c>
      <c r="E253" t="s">
        <v>31</v>
      </c>
      <c r="F253" t="s">
        <v>46</v>
      </c>
      <c r="G253">
        <v>35.19</v>
      </c>
      <c r="H253">
        <v>10</v>
      </c>
      <c r="I253">
        <v>17.594999999999999</v>
      </c>
      <c r="J253">
        <v>369.495</v>
      </c>
      <c r="K253" s="1">
        <v>43541</v>
      </c>
      <c r="L253" s="2">
        <v>0.79583333333333328</v>
      </c>
      <c r="M253" t="s">
        <v>33</v>
      </c>
      <c r="N253">
        <v>351.9</v>
      </c>
      <c r="O253">
        <v>4.7619047620000003</v>
      </c>
      <c r="P253">
        <v>17.594999999999999</v>
      </c>
      <c r="Q253">
        <v>8.4</v>
      </c>
    </row>
    <row r="254" spans="1:17" x14ac:dyDescent="0.3">
      <c r="A254" t="s">
        <v>288</v>
      </c>
      <c r="B254" t="s">
        <v>25</v>
      </c>
      <c r="C254" t="s">
        <v>26</v>
      </c>
      <c r="D254" t="s">
        <v>27</v>
      </c>
      <c r="E254" t="s">
        <v>21</v>
      </c>
      <c r="F254" t="s">
        <v>36</v>
      </c>
      <c r="G254">
        <v>14.39</v>
      </c>
      <c r="H254">
        <v>2</v>
      </c>
      <c r="I254">
        <v>1.4390000000000001</v>
      </c>
      <c r="J254">
        <v>30.219000000000001</v>
      </c>
      <c r="K254" s="1">
        <v>43526</v>
      </c>
      <c r="L254" s="2">
        <v>0.82222222222222219</v>
      </c>
      <c r="M254" t="s">
        <v>33</v>
      </c>
      <c r="N254">
        <v>28.78</v>
      </c>
      <c r="O254">
        <v>4.7619047620000003</v>
      </c>
      <c r="P254">
        <v>1.4390000000000001</v>
      </c>
      <c r="Q254">
        <v>7.2</v>
      </c>
    </row>
    <row r="255" spans="1:17" x14ac:dyDescent="0.3">
      <c r="A255" t="s">
        <v>289</v>
      </c>
      <c r="B255" t="s">
        <v>18</v>
      </c>
      <c r="C255" t="s">
        <v>19</v>
      </c>
      <c r="D255" t="s">
        <v>27</v>
      </c>
      <c r="E255" t="s">
        <v>31</v>
      </c>
      <c r="F255" t="s">
        <v>32</v>
      </c>
      <c r="G255">
        <v>23.75</v>
      </c>
      <c r="H255">
        <v>4</v>
      </c>
      <c r="I255">
        <v>4.75</v>
      </c>
      <c r="J255">
        <v>99.75</v>
      </c>
      <c r="K255" s="1">
        <v>43540</v>
      </c>
      <c r="L255" s="2">
        <v>0.47361111111111109</v>
      </c>
      <c r="M255" t="s">
        <v>29</v>
      </c>
      <c r="N255">
        <v>95</v>
      </c>
      <c r="O255">
        <v>4.7619047620000003</v>
      </c>
      <c r="P255">
        <v>4.75</v>
      </c>
      <c r="Q255">
        <v>5.2</v>
      </c>
    </row>
    <row r="256" spans="1:17" x14ac:dyDescent="0.3">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3">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3">
      <c r="A259" t="s">
        <v>293</v>
      </c>
      <c r="B259" t="s">
        <v>18</v>
      </c>
      <c r="C259" t="s">
        <v>19</v>
      </c>
      <c r="D259" t="s">
        <v>20</v>
      </c>
      <c r="E259" t="s">
        <v>31</v>
      </c>
      <c r="F259" t="s">
        <v>32</v>
      </c>
      <c r="G259">
        <v>25.91</v>
      </c>
      <c r="H259">
        <v>6</v>
      </c>
      <c r="I259">
        <v>7.7729999999999997</v>
      </c>
      <c r="J259">
        <v>163.233</v>
      </c>
      <c r="K259" s="1">
        <v>43501</v>
      </c>
      <c r="L259" s="2">
        <v>0.42777777777777776</v>
      </c>
      <c r="M259" t="s">
        <v>23</v>
      </c>
      <c r="N259">
        <v>155.46</v>
      </c>
      <c r="O259">
        <v>4.7619047620000003</v>
      </c>
      <c r="P259">
        <v>7.7729999999999997</v>
      </c>
      <c r="Q259">
        <v>8.6999999999999993</v>
      </c>
    </row>
    <row r="260" spans="1:17" x14ac:dyDescent="0.3">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
      <c r="A261" t="s">
        <v>295</v>
      </c>
      <c r="B261" t="s">
        <v>25</v>
      </c>
      <c r="C261" t="s">
        <v>26</v>
      </c>
      <c r="D261" t="s">
        <v>20</v>
      </c>
      <c r="E261" t="s">
        <v>31</v>
      </c>
      <c r="F261" t="s">
        <v>28</v>
      </c>
      <c r="G261">
        <v>65.94</v>
      </c>
      <c r="H261">
        <v>4</v>
      </c>
      <c r="I261">
        <v>13.188000000000001</v>
      </c>
      <c r="J261">
        <v>276.94799999999998</v>
      </c>
      <c r="K261" s="1">
        <v>43503</v>
      </c>
      <c r="L261" s="2">
        <v>0.54513888888888884</v>
      </c>
      <c r="M261" t="s">
        <v>33</v>
      </c>
      <c r="N261">
        <v>263.76</v>
      </c>
      <c r="O261">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3">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3">
      <c r="A266" t="s">
        <v>300</v>
      </c>
      <c r="B266" t="s">
        <v>42</v>
      </c>
      <c r="C266" t="s">
        <v>43</v>
      </c>
      <c r="D266" t="s">
        <v>27</v>
      </c>
      <c r="E266" t="s">
        <v>31</v>
      </c>
      <c r="F266" t="s">
        <v>36</v>
      </c>
      <c r="G266">
        <v>54.45</v>
      </c>
      <c r="H266">
        <v>1</v>
      </c>
      <c r="I266">
        <v>2.7225000000000001</v>
      </c>
      <c r="J266">
        <v>57.172499999999999</v>
      </c>
      <c r="K266" s="1">
        <v>43522</v>
      </c>
      <c r="L266" s="2">
        <v>0.80833333333333335</v>
      </c>
      <c r="M266" t="s">
        <v>23</v>
      </c>
      <c r="N266">
        <v>54.45</v>
      </c>
      <c r="O266">
        <v>4.7619047620000003</v>
      </c>
      <c r="P266">
        <v>2.7225000000000001</v>
      </c>
      <c r="Q266">
        <v>7.9</v>
      </c>
    </row>
    <row r="267" spans="1:17" x14ac:dyDescent="0.3">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3">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3">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3">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3">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3">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
      <c r="A276" t="s">
        <v>310</v>
      </c>
      <c r="B276" t="s">
        <v>42</v>
      </c>
      <c r="C276" t="s">
        <v>43</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row>
    <row r="277" spans="1:17" x14ac:dyDescent="0.3">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3">
      <c r="A278" t="s">
        <v>312</v>
      </c>
      <c r="B278" t="s">
        <v>25</v>
      </c>
      <c r="C278" t="s">
        <v>26</v>
      </c>
      <c r="D278" t="s">
        <v>20</v>
      </c>
      <c r="E278" t="s">
        <v>21</v>
      </c>
      <c r="F278" t="s">
        <v>32</v>
      </c>
      <c r="G278">
        <v>21.82</v>
      </c>
      <c r="H278">
        <v>10</v>
      </c>
      <c r="I278">
        <v>10.91</v>
      </c>
      <c r="J278">
        <v>229.11</v>
      </c>
      <c r="K278" s="1">
        <v>43472</v>
      </c>
      <c r="L278" s="2">
        <v>0.73333333333333328</v>
      </c>
      <c r="M278" t="s">
        <v>29</v>
      </c>
      <c r="N278">
        <v>218.2</v>
      </c>
      <c r="O278">
        <v>4.7619047620000003</v>
      </c>
      <c r="P278">
        <v>10.91</v>
      </c>
      <c r="Q278">
        <v>7.1</v>
      </c>
    </row>
    <row r="279" spans="1:17" x14ac:dyDescent="0.3">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314</v>
      </c>
      <c r="B280" t="s">
        <v>25</v>
      </c>
      <c r="C280" t="s">
        <v>26</v>
      </c>
      <c r="D280" t="s">
        <v>20</v>
      </c>
      <c r="E280" t="s">
        <v>31</v>
      </c>
      <c r="F280" t="s">
        <v>46</v>
      </c>
      <c r="G280">
        <v>70.989999999999995</v>
      </c>
      <c r="H280">
        <v>10</v>
      </c>
      <c r="I280">
        <v>35.494999999999997</v>
      </c>
      <c r="J280">
        <v>745.39499999999998</v>
      </c>
      <c r="K280" s="1">
        <v>43544</v>
      </c>
      <c r="L280" s="2">
        <v>0.68611111111111112</v>
      </c>
      <c r="M280" t="s">
        <v>29</v>
      </c>
      <c r="N280">
        <v>709.9</v>
      </c>
      <c r="O280">
        <v>4.7619047620000003</v>
      </c>
      <c r="P280">
        <v>35.494999999999997</v>
      </c>
      <c r="Q280">
        <v>5.7</v>
      </c>
    </row>
    <row r="281" spans="1:17" x14ac:dyDescent="0.3">
      <c r="A281" t="s">
        <v>315</v>
      </c>
      <c r="B281" t="s">
        <v>18</v>
      </c>
      <c r="C281" t="s">
        <v>19</v>
      </c>
      <c r="D281" t="s">
        <v>20</v>
      </c>
      <c r="E281" t="s">
        <v>31</v>
      </c>
      <c r="F281" t="s">
        <v>36</v>
      </c>
      <c r="G281">
        <v>44.02</v>
      </c>
      <c r="H281">
        <v>10</v>
      </c>
      <c r="I281">
        <v>22.01</v>
      </c>
      <c r="J281">
        <v>462.21</v>
      </c>
      <c r="K281" s="1">
        <v>43544</v>
      </c>
      <c r="L281" s="2">
        <v>0.83125000000000004</v>
      </c>
      <c r="M281" t="s">
        <v>33</v>
      </c>
      <c r="N281">
        <v>440.2</v>
      </c>
      <c r="O281">
        <v>4.7619047620000003</v>
      </c>
      <c r="P281">
        <v>22.01</v>
      </c>
      <c r="Q281">
        <v>9.6</v>
      </c>
    </row>
    <row r="282" spans="1:17" x14ac:dyDescent="0.3">
      <c r="A282" t="s">
        <v>316</v>
      </c>
      <c r="B282" t="s">
        <v>18</v>
      </c>
      <c r="C282" t="s">
        <v>19</v>
      </c>
      <c r="D282" t="s">
        <v>27</v>
      </c>
      <c r="E282" t="s">
        <v>21</v>
      </c>
      <c r="F282" t="s">
        <v>32</v>
      </c>
      <c r="G282">
        <v>69.959999999999994</v>
      </c>
      <c r="H282">
        <v>8</v>
      </c>
      <c r="I282">
        <v>27.984000000000002</v>
      </c>
      <c r="J282">
        <v>587.66399999999999</v>
      </c>
      <c r="K282" s="1">
        <v>43511</v>
      </c>
      <c r="L282" s="2">
        <v>0.70902777777777781</v>
      </c>
      <c r="M282" t="s">
        <v>33</v>
      </c>
      <c r="N282">
        <v>559.67999999999995</v>
      </c>
      <c r="O282">
        <v>4.7619047620000003</v>
      </c>
      <c r="P282">
        <v>27.984000000000002</v>
      </c>
      <c r="Q282">
        <v>6.4</v>
      </c>
    </row>
    <row r="283" spans="1:17" x14ac:dyDescent="0.3">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3">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3">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3">
      <c r="A291" t="s">
        <v>325</v>
      </c>
      <c r="B291" t="s">
        <v>18</v>
      </c>
      <c r="C291" t="s">
        <v>19</v>
      </c>
      <c r="D291" t="s">
        <v>20</v>
      </c>
      <c r="E291" t="s">
        <v>21</v>
      </c>
      <c r="F291" t="s">
        <v>32</v>
      </c>
      <c r="G291">
        <v>94.88</v>
      </c>
      <c r="H291">
        <v>7</v>
      </c>
      <c r="I291">
        <v>33.207999999999998</v>
      </c>
      <c r="J291">
        <v>697.36800000000005</v>
      </c>
      <c r="K291" s="1">
        <v>43499</v>
      </c>
      <c r="L291" s="2">
        <v>0.60972222222222228</v>
      </c>
      <c r="M291" t="s">
        <v>29</v>
      </c>
      <c r="N291">
        <v>664.16</v>
      </c>
      <c r="O291">
        <v>4.7619047620000003</v>
      </c>
      <c r="P291">
        <v>33.207999999999998</v>
      </c>
      <c r="Q291">
        <v>4.2</v>
      </c>
    </row>
    <row r="292" spans="1:17" x14ac:dyDescent="0.3">
      <c r="A292" t="s">
        <v>326</v>
      </c>
      <c r="B292" t="s">
        <v>42</v>
      </c>
      <c r="C292" t="s">
        <v>43</v>
      </c>
      <c r="D292" t="s">
        <v>20</v>
      </c>
      <c r="E292" t="s">
        <v>31</v>
      </c>
      <c r="F292" t="s">
        <v>28</v>
      </c>
      <c r="G292">
        <v>40.299999999999997</v>
      </c>
      <c r="H292">
        <v>10</v>
      </c>
      <c r="I292">
        <v>20.149999999999999</v>
      </c>
      <c r="J292">
        <v>423.15</v>
      </c>
      <c r="K292" s="1">
        <v>43489</v>
      </c>
      <c r="L292" s="2">
        <v>0.73402777777777772</v>
      </c>
      <c r="M292" t="s">
        <v>33</v>
      </c>
      <c r="N292">
        <v>403</v>
      </c>
      <c r="O292">
        <v>4.7619047620000003</v>
      </c>
      <c r="P292">
        <v>20.149999999999999</v>
      </c>
      <c r="Q292">
        <v>7</v>
      </c>
    </row>
    <row r="293" spans="1:17" x14ac:dyDescent="0.3">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row>
    <row r="295" spans="1:17" x14ac:dyDescent="0.3">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
      <c r="A296" t="s">
        <v>330</v>
      </c>
      <c r="B296" t="s">
        <v>42</v>
      </c>
      <c r="C296" t="s">
        <v>43</v>
      </c>
      <c r="D296" t="s">
        <v>27</v>
      </c>
      <c r="E296" t="s">
        <v>31</v>
      </c>
      <c r="F296" t="s">
        <v>22</v>
      </c>
      <c r="G296">
        <v>18.11</v>
      </c>
      <c r="H296">
        <v>10</v>
      </c>
      <c r="I296">
        <v>9.0549999999999997</v>
      </c>
      <c r="J296">
        <v>190.155</v>
      </c>
      <c r="K296" s="1">
        <v>43537</v>
      </c>
      <c r="L296" s="2">
        <v>0.49027777777777776</v>
      </c>
      <c r="M296" t="s">
        <v>23</v>
      </c>
      <c r="N296">
        <v>181.1</v>
      </c>
      <c r="O296">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332</v>
      </c>
      <c r="B298" t="s">
        <v>25</v>
      </c>
      <c r="C298" t="s">
        <v>26</v>
      </c>
      <c r="D298" t="s">
        <v>27</v>
      </c>
      <c r="E298" t="s">
        <v>31</v>
      </c>
      <c r="F298" t="s">
        <v>28</v>
      </c>
      <c r="G298">
        <v>28.84</v>
      </c>
      <c r="H298">
        <v>4</v>
      </c>
      <c r="I298">
        <v>5.7679999999999998</v>
      </c>
      <c r="J298">
        <v>121.128</v>
      </c>
      <c r="K298" s="1">
        <v>43553</v>
      </c>
      <c r="L298" s="2">
        <v>0.61388888888888893</v>
      </c>
      <c r="M298" t="s">
        <v>29</v>
      </c>
      <c r="N298">
        <v>115.36</v>
      </c>
      <c r="O298">
        <v>4.7619047620000003</v>
      </c>
      <c r="P298">
        <v>5.7679999999999998</v>
      </c>
      <c r="Q298">
        <v>6.4</v>
      </c>
    </row>
    <row r="299" spans="1:17" x14ac:dyDescent="0.3">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
      <c r="A301" t="s">
        <v>335</v>
      </c>
      <c r="B301" t="s">
        <v>25</v>
      </c>
      <c r="C301" t="s">
        <v>26</v>
      </c>
      <c r="D301" t="s">
        <v>20</v>
      </c>
      <c r="E301" t="s">
        <v>21</v>
      </c>
      <c r="F301" t="s">
        <v>32</v>
      </c>
      <c r="G301">
        <v>88.61</v>
      </c>
      <c r="H301">
        <v>1</v>
      </c>
      <c r="I301">
        <v>4.4305000000000003</v>
      </c>
      <c r="J301">
        <v>93.040499999999994</v>
      </c>
      <c r="K301" s="1">
        <v>43484</v>
      </c>
      <c r="L301" s="2">
        <v>0.43125000000000002</v>
      </c>
      <c r="M301" t="s">
        <v>29</v>
      </c>
      <c r="N301">
        <v>88.61</v>
      </c>
      <c r="O301">
        <v>4.7619047620000003</v>
      </c>
      <c r="P301">
        <v>4.4305000000000003</v>
      </c>
      <c r="Q301">
        <v>7.7</v>
      </c>
    </row>
    <row r="302" spans="1:17" x14ac:dyDescent="0.3">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3">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3">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3">
      <c r="A306" t="s">
        <v>340</v>
      </c>
      <c r="B306" t="s">
        <v>42</v>
      </c>
      <c r="C306" t="s">
        <v>43</v>
      </c>
      <c r="D306" t="s">
        <v>27</v>
      </c>
      <c r="E306" t="s">
        <v>21</v>
      </c>
      <c r="F306" t="s">
        <v>28</v>
      </c>
      <c r="G306">
        <v>14.96</v>
      </c>
      <c r="H306">
        <v>8</v>
      </c>
      <c r="I306">
        <v>5.984</v>
      </c>
      <c r="J306">
        <v>125.664</v>
      </c>
      <c r="K306" s="1">
        <v>43519</v>
      </c>
      <c r="L306" s="2">
        <v>0.52013888888888893</v>
      </c>
      <c r="M306" t="s">
        <v>29</v>
      </c>
      <c r="N306">
        <v>119.68</v>
      </c>
      <c r="O306">
        <v>4.7619047620000003</v>
      </c>
      <c r="P306">
        <v>5.984</v>
      </c>
      <c r="Q306">
        <v>8.6</v>
      </c>
    </row>
    <row r="307" spans="1:17" x14ac:dyDescent="0.3">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
      <c r="A309" t="s">
        <v>343</v>
      </c>
      <c r="B309" t="s">
        <v>18</v>
      </c>
      <c r="C309" t="s">
        <v>19</v>
      </c>
      <c r="D309" t="s">
        <v>20</v>
      </c>
      <c r="E309" t="s">
        <v>21</v>
      </c>
      <c r="F309" t="s">
        <v>32</v>
      </c>
      <c r="G309">
        <v>88.79</v>
      </c>
      <c r="H309">
        <v>8</v>
      </c>
      <c r="I309">
        <v>35.515999999999998</v>
      </c>
      <c r="J309">
        <v>745.83600000000001</v>
      </c>
      <c r="K309" s="1">
        <v>43513</v>
      </c>
      <c r="L309" s="2">
        <v>0.71458333333333335</v>
      </c>
      <c r="M309" t="s">
        <v>29</v>
      </c>
      <c r="N309">
        <v>710.32</v>
      </c>
      <c r="O309">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
      <c r="A311" t="s">
        <v>345</v>
      </c>
      <c r="B311" t="s">
        <v>18</v>
      </c>
      <c r="C311" t="s">
        <v>19</v>
      </c>
      <c r="D311" t="s">
        <v>27</v>
      </c>
      <c r="E311" t="s">
        <v>21</v>
      </c>
      <c r="F311" t="s">
        <v>46</v>
      </c>
      <c r="G311">
        <v>81.91</v>
      </c>
      <c r="H311">
        <v>2</v>
      </c>
      <c r="I311">
        <v>8.1910000000000007</v>
      </c>
      <c r="J311">
        <v>172.011</v>
      </c>
      <c r="K311" s="1">
        <v>43529</v>
      </c>
      <c r="L311" s="2">
        <v>0.73819444444444449</v>
      </c>
      <c r="M311" t="s">
        <v>29</v>
      </c>
      <c r="N311">
        <v>163.82</v>
      </c>
      <c r="O311">
        <v>4.7619047620000003</v>
      </c>
      <c r="P311">
        <v>8.1910000000000007</v>
      </c>
      <c r="Q311">
        <v>7.8</v>
      </c>
    </row>
    <row r="312" spans="1:17" x14ac:dyDescent="0.3">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
      <c r="A317" t="s">
        <v>351</v>
      </c>
      <c r="B317" t="s">
        <v>25</v>
      </c>
      <c r="C317" t="s">
        <v>26</v>
      </c>
      <c r="D317" t="s">
        <v>20</v>
      </c>
      <c r="E317" t="s">
        <v>31</v>
      </c>
      <c r="F317" t="s">
        <v>44</v>
      </c>
      <c r="G317">
        <v>99.37</v>
      </c>
      <c r="H317">
        <v>2</v>
      </c>
      <c r="I317">
        <v>9.9369999999999994</v>
      </c>
      <c r="J317">
        <v>208.67699999999999</v>
      </c>
      <c r="K317" s="1">
        <v>43510</v>
      </c>
      <c r="L317" s="2">
        <v>0.72847222222222219</v>
      </c>
      <c r="M317" t="s">
        <v>29</v>
      </c>
      <c r="N317">
        <v>198.74</v>
      </c>
      <c r="O317">
        <v>4.7619047620000003</v>
      </c>
      <c r="P317">
        <v>9.9369999999999994</v>
      </c>
      <c r="Q317">
        <v>5.2</v>
      </c>
    </row>
    <row r="318" spans="1:17" x14ac:dyDescent="0.3">
      <c r="A318" t="s">
        <v>352</v>
      </c>
      <c r="B318" t="s">
        <v>25</v>
      </c>
      <c r="C318" t="s">
        <v>26</v>
      </c>
      <c r="D318" t="s">
        <v>20</v>
      </c>
      <c r="E318" t="s">
        <v>21</v>
      </c>
      <c r="F318" t="s">
        <v>44</v>
      </c>
      <c r="G318">
        <v>21.08</v>
      </c>
      <c r="H318">
        <v>3</v>
      </c>
      <c r="I318">
        <v>3.1619999999999999</v>
      </c>
      <c r="J318">
        <v>66.402000000000001</v>
      </c>
      <c r="K318" s="1">
        <v>43505</v>
      </c>
      <c r="L318" s="2">
        <v>0.43402777777777779</v>
      </c>
      <c r="M318" t="s">
        <v>29</v>
      </c>
      <c r="N318">
        <v>63.24</v>
      </c>
      <c r="O318">
        <v>4.7619047620000003</v>
      </c>
      <c r="P318">
        <v>3.1619999999999999</v>
      </c>
      <c r="Q318">
        <v>7.3</v>
      </c>
    </row>
    <row r="319" spans="1:17" x14ac:dyDescent="0.3">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3">
      <c r="A321" t="s">
        <v>355</v>
      </c>
      <c r="B321" t="s">
        <v>25</v>
      </c>
      <c r="C321" t="s">
        <v>26</v>
      </c>
      <c r="D321" t="s">
        <v>20</v>
      </c>
      <c r="E321" t="s">
        <v>31</v>
      </c>
      <c r="F321" t="s">
        <v>22</v>
      </c>
      <c r="G321">
        <v>44.07</v>
      </c>
      <c r="H321">
        <v>4</v>
      </c>
      <c r="I321">
        <v>8.8140000000000001</v>
      </c>
      <c r="J321">
        <v>185.09399999999999</v>
      </c>
      <c r="K321" s="1">
        <v>43514</v>
      </c>
      <c r="L321" s="2">
        <v>0.68611111111111112</v>
      </c>
      <c r="M321" t="s">
        <v>23</v>
      </c>
      <c r="N321">
        <v>176.28</v>
      </c>
      <c r="O321">
        <v>4.7619047620000003</v>
      </c>
      <c r="P321">
        <v>8.8140000000000001</v>
      </c>
      <c r="Q321">
        <v>8.4</v>
      </c>
    </row>
    <row r="322" spans="1:17" x14ac:dyDescent="0.3">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3">
      <c r="A327" t="s">
        <v>361</v>
      </c>
      <c r="B327" t="s">
        <v>42</v>
      </c>
      <c r="C327" t="s">
        <v>43</v>
      </c>
      <c r="D327" t="s">
        <v>27</v>
      </c>
      <c r="E327" t="s">
        <v>31</v>
      </c>
      <c r="F327" t="s">
        <v>36</v>
      </c>
      <c r="G327">
        <v>97.74</v>
      </c>
      <c r="H327">
        <v>4</v>
      </c>
      <c r="I327">
        <v>19.547999999999998</v>
      </c>
      <c r="J327">
        <v>410.50799999999998</v>
      </c>
      <c r="K327" s="1">
        <v>43536</v>
      </c>
      <c r="L327" s="2">
        <v>0.82847222222222228</v>
      </c>
      <c r="M327" t="s">
        <v>23</v>
      </c>
      <c r="N327">
        <v>390.96</v>
      </c>
      <c r="O327">
        <v>4.7619047620000003</v>
      </c>
      <c r="P327">
        <v>19.547999999999998</v>
      </c>
      <c r="Q327">
        <v>6.4</v>
      </c>
    </row>
    <row r="328" spans="1:17" x14ac:dyDescent="0.3">
      <c r="A328" t="s">
        <v>362</v>
      </c>
      <c r="B328" t="s">
        <v>18</v>
      </c>
      <c r="C328" t="s">
        <v>19</v>
      </c>
      <c r="D328" t="s">
        <v>20</v>
      </c>
      <c r="E328" t="s">
        <v>31</v>
      </c>
      <c r="F328" t="s">
        <v>44</v>
      </c>
      <c r="G328">
        <v>99.78</v>
      </c>
      <c r="H328">
        <v>5</v>
      </c>
      <c r="I328">
        <v>24.945</v>
      </c>
      <c r="J328">
        <v>523.84500000000003</v>
      </c>
      <c r="K328" s="1">
        <v>43533</v>
      </c>
      <c r="L328" s="2">
        <v>0.79791666666666672</v>
      </c>
      <c r="M328" t="s">
        <v>29</v>
      </c>
      <c r="N328">
        <v>498.9</v>
      </c>
      <c r="O328">
        <v>4.7619047620000003</v>
      </c>
      <c r="P328">
        <v>24.945</v>
      </c>
      <c r="Q328">
        <v>5.4</v>
      </c>
    </row>
    <row r="329" spans="1:17" x14ac:dyDescent="0.3">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3">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3">
      <c r="A331" t="s">
        <v>365</v>
      </c>
      <c r="B331" t="s">
        <v>18</v>
      </c>
      <c r="C331" t="s">
        <v>19</v>
      </c>
      <c r="D331" t="s">
        <v>20</v>
      </c>
      <c r="E331" t="s">
        <v>31</v>
      </c>
      <c r="F331" t="s">
        <v>28</v>
      </c>
      <c r="G331">
        <v>36.36</v>
      </c>
      <c r="H331">
        <v>4</v>
      </c>
      <c r="I331">
        <v>7.2720000000000002</v>
      </c>
      <c r="J331">
        <v>152.71199999999999</v>
      </c>
      <c r="K331" s="1">
        <v>43549</v>
      </c>
      <c r="L331" s="2">
        <v>0.54652777777777772</v>
      </c>
      <c r="M331" t="s">
        <v>29</v>
      </c>
      <c r="N331">
        <v>145.44</v>
      </c>
      <c r="O331">
        <v>4.7619047620000003</v>
      </c>
      <c r="P331">
        <v>7.2720000000000002</v>
      </c>
      <c r="Q331">
        <v>7.6</v>
      </c>
    </row>
    <row r="332" spans="1:17" x14ac:dyDescent="0.3">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3">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3">
      <c r="A336" t="s">
        <v>370</v>
      </c>
      <c r="B336" t="s">
        <v>25</v>
      </c>
      <c r="C336" t="s">
        <v>26</v>
      </c>
      <c r="D336" t="s">
        <v>20</v>
      </c>
      <c r="E336" t="s">
        <v>31</v>
      </c>
      <c r="F336" t="s">
        <v>36</v>
      </c>
      <c r="G336">
        <v>14.7</v>
      </c>
      <c r="H336">
        <v>5</v>
      </c>
      <c r="I336">
        <v>3.6749999999999998</v>
      </c>
      <c r="J336">
        <v>77.174999999999997</v>
      </c>
      <c r="K336" s="1">
        <v>43548</v>
      </c>
      <c r="L336" s="2">
        <v>0.57499999999999996</v>
      </c>
      <c r="M336" t="s">
        <v>23</v>
      </c>
      <c r="N336">
        <v>73.5</v>
      </c>
      <c r="O336">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3">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3">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3">
      <c r="A342" t="s">
        <v>376</v>
      </c>
      <c r="B342" t="s">
        <v>42</v>
      </c>
      <c r="C342" t="s">
        <v>43</v>
      </c>
      <c r="D342" t="s">
        <v>20</v>
      </c>
      <c r="E342" t="s">
        <v>31</v>
      </c>
      <c r="F342" t="s">
        <v>28</v>
      </c>
      <c r="G342">
        <v>48.09</v>
      </c>
      <c r="H342">
        <v>3</v>
      </c>
      <c r="I342">
        <v>7.2134999999999998</v>
      </c>
      <c r="J342">
        <v>151.48349999999999</v>
      </c>
      <c r="K342" s="1">
        <v>43506</v>
      </c>
      <c r="L342" s="2">
        <v>0.76597222222222228</v>
      </c>
      <c r="M342" t="s">
        <v>33</v>
      </c>
      <c r="N342">
        <v>144.27000000000001</v>
      </c>
      <c r="O342">
        <v>4.7619047620000003</v>
      </c>
      <c r="P342">
        <v>7.2134999999999998</v>
      </c>
      <c r="Q342">
        <v>7.8</v>
      </c>
    </row>
    <row r="343" spans="1:17" x14ac:dyDescent="0.3">
      <c r="A343" t="s">
        <v>377</v>
      </c>
      <c r="B343" t="s">
        <v>42</v>
      </c>
      <c r="C343" t="s">
        <v>43</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row>
    <row r="344" spans="1:17" x14ac:dyDescent="0.3">
      <c r="A344" t="s">
        <v>378</v>
      </c>
      <c r="B344" t="s">
        <v>42</v>
      </c>
      <c r="C344" t="s">
        <v>43</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row>
    <row r="345" spans="1:17" x14ac:dyDescent="0.3">
      <c r="A345" t="s">
        <v>379</v>
      </c>
      <c r="B345" t="s">
        <v>25</v>
      </c>
      <c r="C345" t="s">
        <v>26</v>
      </c>
      <c r="D345" t="s">
        <v>27</v>
      </c>
      <c r="E345" t="s">
        <v>21</v>
      </c>
      <c r="F345" t="s">
        <v>44</v>
      </c>
      <c r="G345">
        <v>97.03</v>
      </c>
      <c r="H345">
        <v>5</v>
      </c>
      <c r="I345">
        <v>24.2575</v>
      </c>
      <c r="J345">
        <v>509.40750000000003</v>
      </c>
      <c r="K345" s="1">
        <v>43495</v>
      </c>
      <c r="L345" s="2">
        <v>0.68333333333333335</v>
      </c>
      <c r="M345" t="s">
        <v>23</v>
      </c>
      <c r="N345">
        <v>485.15</v>
      </c>
      <c r="O345">
        <v>4.7619047620000003</v>
      </c>
      <c r="P345">
        <v>24.2575</v>
      </c>
      <c r="Q345">
        <v>9.3000000000000007</v>
      </c>
    </row>
    <row r="346" spans="1:17" x14ac:dyDescent="0.3">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
      <c r="A350" t="s">
        <v>384</v>
      </c>
      <c r="B350" t="s">
        <v>18</v>
      </c>
      <c r="C350" t="s">
        <v>19</v>
      </c>
      <c r="D350" t="s">
        <v>27</v>
      </c>
      <c r="E350" t="s">
        <v>31</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row>
    <row r="351" spans="1:17" x14ac:dyDescent="0.3">
      <c r="A351" t="s">
        <v>385</v>
      </c>
      <c r="B351" t="s">
        <v>42</v>
      </c>
      <c r="C351" t="s">
        <v>43</v>
      </c>
      <c r="D351" t="s">
        <v>27</v>
      </c>
      <c r="E351" t="s">
        <v>21</v>
      </c>
      <c r="F351" t="s">
        <v>22</v>
      </c>
      <c r="G351">
        <v>13.5</v>
      </c>
      <c r="H351">
        <v>10</v>
      </c>
      <c r="I351">
        <v>6.75</v>
      </c>
      <c r="J351">
        <v>141.75</v>
      </c>
      <c r="K351" s="1">
        <v>43523</v>
      </c>
      <c r="L351" s="2">
        <v>0.46250000000000002</v>
      </c>
      <c r="M351" t="s">
        <v>33</v>
      </c>
      <c r="N351">
        <v>135</v>
      </c>
      <c r="O351">
        <v>4.7619047620000003</v>
      </c>
      <c r="P351">
        <v>6.75</v>
      </c>
      <c r="Q351">
        <v>4.8</v>
      </c>
    </row>
    <row r="352" spans="1:17" x14ac:dyDescent="0.3">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3">
      <c r="A353" t="s">
        <v>387</v>
      </c>
      <c r="B353" t="s">
        <v>18</v>
      </c>
      <c r="C353" t="s">
        <v>19</v>
      </c>
      <c r="D353" t="s">
        <v>27</v>
      </c>
      <c r="E353" t="s">
        <v>31</v>
      </c>
      <c r="F353" t="s">
        <v>28</v>
      </c>
      <c r="G353">
        <v>51.69</v>
      </c>
      <c r="H353">
        <v>7</v>
      </c>
      <c r="I353">
        <v>18.0915</v>
      </c>
      <c r="J353">
        <v>379.92149999999998</v>
      </c>
      <c r="K353" s="1">
        <v>43491</v>
      </c>
      <c r="L353" s="2">
        <v>0.76527777777777772</v>
      </c>
      <c r="M353" t="s">
        <v>29</v>
      </c>
      <c r="N353">
        <v>361.83</v>
      </c>
      <c r="O353">
        <v>4.7619047620000003</v>
      </c>
      <c r="P353">
        <v>18.0915</v>
      </c>
      <c r="Q353">
        <v>5.5</v>
      </c>
    </row>
    <row r="354" spans="1:17" x14ac:dyDescent="0.3">
      <c r="A354" t="s">
        <v>388</v>
      </c>
      <c r="B354" t="s">
        <v>42</v>
      </c>
      <c r="C354" t="s">
        <v>43</v>
      </c>
      <c r="D354" t="s">
        <v>20</v>
      </c>
      <c r="E354" t="s">
        <v>21</v>
      </c>
      <c r="F354" t="s">
        <v>46</v>
      </c>
      <c r="G354">
        <v>54.73</v>
      </c>
      <c r="H354">
        <v>7</v>
      </c>
      <c r="I354">
        <v>19.1555</v>
      </c>
      <c r="J354">
        <v>402.26549999999997</v>
      </c>
      <c r="K354" s="1">
        <v>43538</v>
      </c>
      <c r="L354" s="2">
        <v>0.79305555555555551</v>
      </c>
      <c r="M354" t="s">
        <v>33</v>
      </c>
      <c r="N354">
        <v>383.11</v>
      </c>
      <c r="O354">
        <v>4.7619047620000003</v>
      </c>
      <c r="P354">
        <v>19.1555</v>
      </c>
      <c r="Q354">
        <v>8.5</v>
      </c>
    </row>
    <row r="355" spans="1:17" x14ac:dyDescent="0.3">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
      <c r="A357" t="s">
        <v>391</v>
      </c>
      <c r="B357" t="s">
        <v>42</v>
      </c>
      <c r="C357" t="s">
        <v>43</v>
      </c>
      <c r="D357" t="s">
        <v>20</v>
      </c>
      <c r="E357" t="s">
        <v>21</v>
      </c>
      <c r="F357" t="s">
        <v>44</v>
      </c>
      <c r="G357">
        <v>89.14</v>
      </c>
      <c r="H357">
        <v>4</v>
      </c>
      <c r="I357">
        <v>17.827999999999999</v>
      </c>
      <c r="J357">
        <v>374.38799999999998</v>
      </c>
      <c r="K357" s="1">
        <v>43472</v>
      </c>
      <c r="L357" s="2">
        <v>0.51388888888888884</v>
      </c>
      <c r="M357" t="s">
        <v>33</v>
      </c>
      <c r="N357">
        <v>356.56</v>
      </c>
      <c r="O357">
        <v>4.7619047620000003</v>
      </c>
      <c r="P357">
        <v>17.827999999999999</v>
      </c>
      <c r="Q357">
        <v>7.8</v>
      </c>
    </row>
    <row r="358" spans="1:17" x14ac:dyDescent="0.3">
      <c r="A358" t="s">
        <v>392</v>
      </c>
      <c r="B358" t="s">
        <v>25</v>
      </c>
      <c r="C358" t="s">
        <v>26</v>
      </c>
      <c r="D358" t="s">
        <v>27</v>
      </c>
      <c r="E358" t="s">
        <v>21</v>
      </c>
      <c r="F358" t="s">
        <v>46</v>
      </c>
      <c r="G358">
        <v>37.549999999999997</v>
      </c>
      <c r="H358">
        <v>10</v>
      </c>
      <c r="I358">
        <v>18.774999999999999</v>
      </c>
      <c r="J358">
        <v>394.27499999999998</v>
      </c>
      <c r="K358" s="1">
        <v>43532</v>
      </c>
      <c r="L358" s="2">
        <v>0.83402777777777781</v>
      </c>
      <c r="M358" t="s">
        <v>33</v>
      </c>
      <c r="N358">
        <v>375.5</v>
      </c>
      <c r="O358">
        <v>4.7619047620000003</v>
      </c>
      <c r="P358">
        <v>18.774999999999999</v>
      </c>
      <c r="Q358">
        <v>9.3000000000000007</v>
      </c>
    </row>
    <row r="359" spans="1:17" x14ac:dyDescent="0.3">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3">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3">
      <c r="A361" t="s">
        <v>395</v>
      </c>
      <c r="B361" t="s">
        <v>42</v>
      </c>
      <c r="C361" t="s">
        <v>43</v>
      </c>
      <c r="D361" t="s">
        <v>27</v>
      </c>
      <c r="E361" t="s">
        <v>31</v>
      </c>
      <c r="F361" t="s">
        <v>36</v>
      </c>
      <c r="G361">
        <v>74.97</v>
      </c>
      <c r="H361">
        <v>1</v>
      </c>
      <c r="I361">
        <v>3.7484999999999999</v>
      </c>
      <c r="J361">
        <v>78.718500000000006</v>
      </c>
      <c r="K361" s="1">
        <v>43540</v>
      </c>
      <c r="L361" s="2">
        <v>0.70694444444444449</v>
      </c>
      <c r="M361" t="s">
        <v>29</v>
      </c>
      <c r="N361">
        <v>74.97</v>
      </c>
      <c r="O361">
        <v>4.7619047620000003</v>
      </c>
      <c r="P361">
        <v>3.7484999999999999</v>
      </c>
      <c r="Q361">
        <v>5.6</v>
      </c>
    </row>
    <row r="362" spans="1:17" x14ac:dyDescent="0.3">
      <c r="A362" t="s">
        <v>396</v>
      </c>
      <c r="B362" t="s">
        <v>18</v>
      </c>
      <c r="C362" t="s">
        <v>19</v>
      </c>
      <c r="D362" t="s">
        <v>20</v>
      </c>
      <c r="E362" t="s">
        <v>31</v>
      </c>
      <c r="F362" t="s">
        <v>44</v>
      </c>
      <c r="G362">
        <v>80.959999999999994</v>
      </c>
      <c r="H362">
        <v>8</v>
      </c>
      <c r="I362">
        <v>32.384</v>
      </c>
      <c r="J362">
        <v>680.06399999999996</v>
      </c>
      <c r="K362" s="1">
        <v>43513</v>
      </c>
      <c r="L362" s="2">
        <v>0.46666666666666667</v>
      </c>
      <c r="M362" t="s">
        <v>33</v>
      </c>
      <c r="N362">
        <v>647.67999999999995</v>
      </c>
      <c r="O362">
        <v>4.7619047620000003</v>
      </c>
      <c r="P362">
        <v>32.384</v>
      </c>
      <c r="Q362">
        <v>7.4</v>
      </c>
    </row>
    <row r="363" spans="1:17" x14ac:dyDescent="0.3">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
      <c r="A364" t="s">
        <v>398</v>
      </c>
      <c r="B364" t="s">
        <v>25</v>
      </c>
      <c r="C364" t="s">
        <v>26</v>
      </c>
      <c r="D364" t="s">
        <v>27</v>
      </c>
      <c r="E364" t="s">
        <v>31</v>
      </c>
      <c r="F364" t="s">
        <v>44</v>
      </c>
      <c r="G364">
        <v>99.79</v>
      </c>
      <c r="H364">
        <v>2</v>
      </c>
      <c r="I364">
        <v>9.9789999999999992</v>
      </c>
      <c r="J364">
        <v>209.559</v>
      </c>
      <c r="K364" s="1">
        <v>43531</v>
      </c>
      <c r="L364" s="2">
        <v>0.85902777777777772</v>
      </c>
      <c r="M364" t="s">
        <v>23</v>
      </c>
      <c r="N364">
        <v>199.58</v>
      </c>
      <c r="O364">
        <v>4.7619047620000003</v>
      </c>
      <c r="P364">
        <v>9.9789999999999992</v>
      </c>
      <c r="Q364">
        <v>8</v>
      </c>
    </row>
    <row r="365" spans="1:17" x14ac:dyDescent="0.3">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
      <c r="A369" t="s">
        <v>403</v>
      </c>
      <c r="B369" t="s">
        <v>18</v>
      </c>
      <c r="C369" t="s">
        <v>19</v>
      </c>
      <c r="D369" t="s">
        <v>20</v>
      </c>
      <c r="E369" t="s">
        <v>31</v>
      </c>
      <c r="F369" t="s">
        <v>32</v>
      </c>
      <c r="G369">
        <v>65.94</v>
      </c>
      <c r="H369">
        <v>4</v>
      </c>
      <c r="I369">
        <v>13.188000000000001</v>
      </c>
      <c r="J369">
        <v>276.94799999999998</v>
      </c>
      <c r="K369" s="1">
        <v>43548</v>
      </c>
      <c r="L369" s="2">
        <v>0.43680555555555556</v>
      </c>
      <c r="M369" t="s">
        <v>29</v>
      </c>
      <c r="N369">
        <v>263.76</v>
      </c>
      <c r="O369">
        <v>4.7619047620000003</v>
      </c>
      <c r="P369">
        <v>13.188000000000001</v>
      </c>
      <c r="Q369">
        <v>6</v>
      </c>
    </row>
    <row r="370" spans="1:17" x14ac:dyDescent="0.3">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3">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3">
      <c r="A372" t="s">
        <v>406</v>
      </c>
      <c r="B372" t="s">
        <v>42</v>
      </c>
      <c r="C372" t="s">
        <v>43</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3">
      <c r="A374" t="s">
        <v>408</v>
      </c>
      <c r="B374" t="s">
        <v>25</v>
      </c>
      <c r="C374" t="s">
        <v>26</v>
      </c>
      <c r="D374" t="s">
        <v>27</v>
      </c>
      <c r="E374" t="s">
        <v>21</v>
      </c>
      <c r="F374" t="s">
        <v>32</v>
      </c>
      <c r="G374">
        <v>70.11</v>
      </c>
      <c r="H374">
        <v>6</v>
      </c>
      <c r="I374">
        <v>21.033000000000001</v>
      </c>
      <c r="J374">
        <v>441.69299999999998</v>
      </c>
      <c r="K374" s="1">
        <v>43538</v>
      </c>
      <c r="L374" s="2">
        <v>0.74583333333333335</v>
      </c>
      <c r="M374" t="s">
        <v>23</v>
      </c>
      <c r="N374">
        <v>420.66</v>
      </c>
      <c r="O374">
        <v>4.7619047620000003</v>
      </c>
      <c r="P374">
        <v>21.033000000000001</v>
      </c>
      <c r="Q374">
        <v>5.2</v>
      </c>
    </row>
    <row r="375" spans="1:17" x14ac:dyDescent="0.3">
      <c r="A375" t="s">
        <v>409</v>
      </c>
      <c r="B375" t="s">
        <v>25</v>
      </c>
      <c r="C375" t="s">
        <v>26</v>
      </c>
      <c r="D375" t="s">
        <v>27</v>
      </c>
      <c r="E375" t="s">
        <v>31</v>
      </c>
      <c r="F375" t="s">
        <v>46</v>
      </c>
      <c r="G375">
        <v>42.08</v>
      </c>
      <c r="H375">
        <v>6</v>
      </c>
      <c r="I375">
        <v>12.624000000000001</v>
      </c>
      <c r="J375">
        <v>265.10399999999998</v>
      </c>
      <c r="K375" s="1">
        <v>43494</v>
      </c>
      <c r="L375" s="2">
        <v>0.51736111111111116</v>
      </c>
      <c r="M375" t="s">
        <v>29</v>
      </c>
      <c r="N375">
        <v>252.48</v>
      </c>
      <c r="O375">
        <v>4.7619047620000003</v>
      </c>
      <c r="P375">
        <v>12.624000000000001</v>
      </c>
      <c r="Q375">
        <v>8.9</v>
      </c>
    </row>
    <row r="376" spans="1:17" x14ac:dyDescent="0.3">
      <c r="A376" t="s">
        <v>410</v>
      </c>
      <c r="B376" t="s">
        <v>18</v>
      </c>
      <c r="C376" t="s">
        <v>19</v>
      </c>
      <c r="D376" t="s">
        <v>27</v>
      </c>
      <c r="E376" t="s">
        <v>21</v>
      </c>
      <c r="F376" t="s">
        <v>32</v>
      </c>
      <c r="G376">
        <v>67.09</v>
      </c>
      <c r="H376">
        <v>5</v>
      </c>
      <c r="I376">
        <v>16.772500000000001</v>
      </c>
      <c r="J376">
        <v>352.22250000000003</v>
      </c>
      <c r="K376" s="1">
        <v>43468</v>
      </c>
      <c r="L376" s="2">
        <v>0.69930555555555551</v>
      </c>
      <c r="M376" t="s">
        <v>33</v>
      </c>
      <c r="N376">
        <v>335.45</v>
      </c>
      <c r="O376">
        <v>4.7619047620000003</v>
      </c>
      <c r="P376">
        <v>16.772500000000001</v>
      </c>
      <c r="Q376">
        <v>9.1</v>
      </c>
    </row>
    <row r="377" spans="1:17" x14ac:dyDescent="0.3">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3">
      <c r="A379" t="s">
        <v>413</v>
      </c>
      <c r="B379" t="s">
        <v>25</v>
      </c>
      <c r="C379" t="s">
        <v>26</v>
      </c>
      <c r="D379" t="s">
        <v>27</v>
      </c>
      <c r="E379" t="s">
        <v>31</v>
      </c>
      <c r="F379" t="s">
        <v>36</v>
      </c>
      <c r="G379">
        <v>95.49</v>
      </c>
      <c r="H379">
        <v>7</v>
      </c>
      <c r="I379">
        <v>33.421500000000002</v>
      </c>
      <c r="J379">
        <v>701.85149999999999</v>
      </c>
      <c r="K379" s="1">
        <v>43518</v>
      </c>
      <c r="L379" s="2">
        <v>0.76180555555555551</v>
      </c>
      <c r="M379" t="s">
        <v>23</v>
      </c>
      <c r="N379">
        <v>668.43</v>
      </c>
      <c r="O379">
        <v>4.7619047620000003</v>
      </c>
      <c r="P379">
        <v>33.421500000000002</v>
      </c>
      <c r="Q379">
        <v>8.6999999999999993</v>
      </c>
    </row>
    <row r="380" spans="1:17" x14ac:dyDescent="0.3">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3">
      <c r="A382" t="s">
        <v>416</v>
      </c>
      <c r="B382" t="s">
        <v>18</v>
      </c>
      <c r="C382" t="s">
        <v>19</v>
      </c>
      <c r="D382" t="s">
        <v>20</v>
      </c>
      <c r="E382" t="s">
        <v>31</v>
      </c>
      <c r="F382" t="s">
        <v>36</v>
      </c>
      <c r="G382">
        <v>82.33</v>
      </c>
      <c r="H382">
        <v>4</v>
      </c>
      <c r="I382">
        <v>16.466000000000001</v>
      </c>
      <c r="J382">
        <v>345.786</v>
      </c>
      <c r="K382" s="1">
        <v>43476</v>
      </c>
      <c r="L382" s="2">
        <v>0.44236111111111109</v>
      </c>
      <c r="M382" t="s">
        <v>33</v>
      </c>
      <c r="N382">
        <v>329.32</v>
      </c>
      <c r="O382">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row>
    <row r="384" spans="1:17" x14ac:dyDescent="0.3">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3">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3">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3">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
      <c r="A394" t="s">
        <v>428</v>
      </c>
      <c r="B394" t="s">
        <v>18</v>
      </c>
      <c r="C394" t="s">
        <v>19</v>
      </c>
      <c r="D394" t="s">
        <v>20</v>
      </c>
      <c r="E394" t="s">
        <v>31</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row>
    <row r="395" spans="1:17" x14ac:dyDescent="0.3">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row>
    <row r="398" spans="1:17" x14ac:dyDescent="0.3">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3">
      <c r="A401" t="s">
        <v>435</v>
      </c>
      <c r="B401" t="s">
        <v>42</v>
      </c>
      <c r="C401" t="s">
        <v>43</v>
      </c>
      <c r="D401" t="s">
        <v>20</v>
      </c>
      <c r="E401" t="s">
        <v>31</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row>
    <row r="402" spans="1:17" x14ac:dyDescent="0.3">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3">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3">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3">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3">
      <c r="A408" t="s">
        <v>442</v>
      </c>
      <c r="B408" t="s">
        <v>18</v>
      </c>
      <c r="C408" t="s">
        <v>19</v>
      </c>
      <c r="D408" t="s">
        <v>27</v>
      </c>
      <c r="E408" t="s">
        <v>31</v>
      </c>
      <c r="F408" t="s">
        <v>44</v>
      </c>
      <c r="G408">
        <v>13.79</v>
      </c>
      <c r="H408">
        <v>5</v>
      </c>
      <c r="I408">
        <v>3.4474999999999998</v>
      </c>
      <c r="J408">
        <v>72.397499999999994</v>
      </c>
      <c r="K408" s="1">
        <v>43476</v>
      </c>
      <c r="L408" s="2">
        <v>0.79652777777777772</v>
      </c>
      <c r="M408" t="s">
        <v>33</v>
      </c>
      <c r="N408">
        <v>68.95</v>
      </c>
      <c r="O408">
        <v>4.7619047620000003</v>
      </c>
      <c r="P408">
        <v>3.4474999999999998</v>
      </c>
      <c r="Q408">
        <v>7.8</v>
      </c>
    </row>
    <row r="409" spans="1:17" x14ac:dyDescent="0.3">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
      <c r="A410" t="s">
        <v>444</v>
      </c>
      <c r="B410" t="s">
        <v>18</v>
      </c>
      <c r="C410" t="s">
        <v>19</v>
      </c>
      <c r="D410" t="s">
        <v>27</v>
      </c>
      <c r="E410" t="s">
        <v>21</v>
      </c>
      <c r="F410" t="s">
        <v>32</v>
      </c>
      <c r="G410">
        <v>56.53</v>
      </c>
      <c r="H410">
        <v>4</v>
      </c>
      <c r="I410">
        <v>11.305999999999999</v>
      </c>
      <c r="J410">
        <v>237.42599999999999</v>
      </c>
      <c r="K410" s="1">
        <v>43528</v>
      </c>
      <c r="L410" s="2">
        <v>0.82499999999999996</v>
      </c>
      <c r="M410" t="s">
        <v>23</v>
      </c>
      <c r="N410">
        <v>226.12</v>
      </c>
      <c r="O410">
        <v>4.7619047620000003</v>
      </c>
      <c r="P410">
        <v>11.305999999999999</v>
      </c>
      <c r="Q410">
        <v>5.5</v>
      </c>
    </row>
    <row r="411" spans="1:17" x14ac:dyDescent="0.3">
      <c r="A411" t="s">
        <v>445</v>
      </c>
      <c r="B411" t="s">
        <v>25</v>
      </c>
      <c r="C411" t="s">
        <v>26</v>
      </c>
      <c r="D411" t="s">
        <v>27</v>
      </c>
      <c r="E411" t="s">
        <v>21</v>
      </c>
      <c r="F411" t="s">
        <v>46</v>
      </c>
      <c r="G411">
        <v>23.82</v>
      </c>
      <c r="H411">
        <v>5</v>
      </c>
      <c r="I411">
        <v>5.9550000000000001</v>
      </c>
      <c r="J411">
        <v>125.05500000000001</v>
      </c>
      <c r="K411" s="1">
        <v>43493</v>
      </c>
      <c r="L411" s="2">
        <v>0.80833333333333335</v>
      </c>
      <c r="M411" t="s">
        <v>23</v>
      </c>
      <c r="N411">
        <v>119.1</v>
      </c>
      <c r="O411">
        <v>4.7619047620000003</v>
      </c>
      <c r="P411">
        <v>5.9550000000000001</v>
      </c>
      <c r="Q411">
        <v>5.4</v>
      </c>
    </row>
    <row r="412" spans="1:17" x14ac:dyDescent="0.3">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
      <c r="A415" t="s">
        <v>449</v>
      </c>
      <c r="B415" t="s">
        <v>18</v>
      </c>
      <c r="C415" t="s">
        <v>19</v>
      </c>
      <c r="D415" t="s">
        <v>27</v>
      </c>
      <c r="E415" t="s">
        <v>31</v>
      </c>
      <c r="F415" t="s">
        <v>36</v>
      </c>
      <c r="G415">
        <v>25.84</v>
      </c>
      <c r="H415">
        <v>3</v>
      </c>
      <c r="I415">
        <v>3.8759999999999999</v>
      </c>
      <c r="J415">
        <v>81.396000000000001</v>
      </c>
      <c r="K415" s="1">
        <v>43534</v>
      </c>
      <c r="L415" s="2">
        <v>0.78819444444444442</v>
      </c>
      <c r="M415" t="s">
        <v>23</v>
      </c>
      <c r="N415">
        <v>77.52</v>
      </c>
      <c r="O415">
        <v>4.7619047620000003</v>
      </c>
      <c r="P415">
        <v>3.8759999999999999</v>
      </c>
      <c r="Q415">
        <v>6.6</v>
      </c>
    </row>
    <row r="416" spans="1:17" x14ac:dyDescent="0.3">
      <c r="A416" t="s">
        <v>450</v>
      </c>
      <c r="B416" t="s">
        <v>18</v>
      </c>
      <c r="C416" t="s">
        <v>19</v>
      </c>
      <c r="D416" t="s">
        <v>27</v>
      </c>
      <c r="E416" t="s">
        <v>31</v>
      </c>
      <c r="F416" t="s">
        <v>32</v>
      </c>
      <c r="G416">
        <v>50.93</v>
      </c>
      <c r="H416">
        <v>8</v>
      </c>
      <c r="I416">
        <v>20.372</v>
      </c>
      <c r="J416">
        <v>427.81200000000001</v>
      </c>
      <c r="K416" s="1">
        <v>43546</v>
      </c>
      <c r="L416" s="2">
        <v>0.81666666666666665</v>
      </c>
      <c r="M416" t="s">
        <v>23</v>
      </c>
      <c r="N416">
        <v>407.44</v>
      </c>
      <c r="O416">
        <v>4.7619047620000003</v>
      </c>
      <c r="P416">
        <v>20.372</v>
      </c>
      <c r="Q416">
        <v>9.1999999999999993</v>
      </c>
    </row>
    <row r="417" spans="1:17" x14ac:dyDescent="0.3">
      <c r="A417" t="s">
        <v>451</v>
      </c>
      <c r="B417" t="s">
        <v>42</v>
      </c>
      <c r="C417" t="s">
        <v>43</v>
      </c>
      <c r="D417" t="s">
        <v>27</v>
      </c>
      <c r="E417" t="s">
        <v>31</v>
      </c>
      <c r="F417" t="s">
        <v>22</v>
      </c>
      <c r="G417">
        <v>96.11</v>
      </c>
      <c r="H417">
        <v>1</v>
      </c>
      <c r="I417">
        <v>4.8055000000000003</v>
      </c>
      <c r="J417">
        <v>100.91549999999999</v>
      </c>
      <c r="K417" s="1">
        <v>43490</v>
      </c>
      <c r="L417" s="2">
        <v>0.68611111111111112</v>
      </c>
      <c r="M417" t="s">
        <v>23</v>
      </c>
      <c r="N417">
        <v>96.11</v>
      </c>
      <c r="O417">
        <v>4.7619047620000003</v>
      </c>
      <c r="P417">
        <v>4.8055000000000003</v>
      </c>
      <c r="Q417">
        <v>7.8</v>
      </c>
    </row>
    <row r="418" spans="1:17" x14ac:dyDescent="0.3">
      <c r="A418" t="s">
        <v>452</v>
      </c>
      <c r="B418" t="s">
        <v>25</v>
      </c>
      <c r="C418" t="s">
        <v>26</v>
      </c>
      <c r="D418" t="s">
        <v>27</v>
      </c>
      <c r="E418" t="s">
        <v>21</v>
      </c>
      <c r="F418" t="s">
        <v>32</v>
      </c>
      <c r="G418">
        <v>45.38</v>
      </c>
      <c r="H418">
        <v>4</v>
      </c>
      <c r="I418">
        <v>9.0760000000000005</v>
      </c>
      <c r="J418">
        <v>190.596</v>
      </c>
      <c r="K418" s="1">
        <v>43473</v>
      </c>
      <c r="L418" s="2">
        <v>0.57499999999999996</v>
      </c>
      <c r="M418" t="s">
        <v>33</v>
      </c>
      <c r="N418">
        <v>181.52</v>
      </c>
      <c r="O418">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
      <c r="A420" t="s">
        <v>454</v>
      </c>
      <c r="B420" t="s">
        <v>42</v>
      </c>
      <c r="C420" t="s">
        <v>43</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row>
    <row r="422" spans="1:17" x14ac:dyDescent="0.3">
      <c r="A422" t="s">
        <v>456</v>
      </c>
      <c r="B422" t="s">
        <v>25</v>
      </c>
      <c r="C422" t="s">
        <v>26</v>
      </c>
      <c r="D422" t="s">
        <v>20</v>
      </c>
      <c r="E422" t="s">
        <v>21</v>
      </c>
      <c r="F422" t="s">
        <v>44</v>
      </c>
      <c r="G422">
        <v>38.6</v>
      </c>
      <c r="H422">
        <v>3</v>
      </c>
      <c r="I422">
        <v>5.79</v>
      </c>
      <c r="J422">
        <v>121.59</v>
      </c>
      <c r="K422" s="1">
        <v>43552</v>
      </c>
      <c r="L422" s="2">
        <v>0.58125000000000004</v>
      </c>
      <c r="M422" t="s">
        <v>23</v>
      </c>
      <c r="N422">
        <v>115.8</v>
      </c>
      <c r="O422">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3">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3">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3">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
      <c r="A429" t="s">
        <v>463</v>
      </c>
      <c r="B429" t="s">
        <v>42</v>
      </c>
      <c r="C429" t="s">
        <v>43</v>
      </c>
      <c r="D429" t="s">
        <v>20</v>
      </c>
      <c r="E429" t="s">
        <v>21</v>
      </c>
      <c r="F429" t="s">
        <v>44</v>
      </c>
      <c r="G429">
        <v>20.87</v>
      </c>
      <c r="H429">
        <v>3</v>
      </c>
      <c r="I429">
        <v>3.1305000000000001</v>
      </c>
      <c r="J429">
        <v>65.740499999999997</v>
      </c>
      <c r="K429" s="1">
        <v>43544</v>
      </c>
      <c r="L429" s="2">
        <v>0.57847222222222228</v>
      </c>
      <c r="M429" t="s">
        <v>33</v>
      </c>
      <c r="N429">
        <v>62.61</v>
      </c>
      <c r="O429">
        <v>4.7619047620000003</v>
      </c>
      <c r="P429">
        <v>3.1305000000000001</v>
      </c>
      <c r="Q429">
        <v>8</v>
      </c>
    </row>
    <row r="430" spans="1:17" x14ac:dyDescent="0.3">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
      <c r="A432" t="s">
        <v>466</v>
      </c>
      <c r="B432" t="s">
        <v>42</v>
      </c>
      <c r="C432" t="s">
        <v>43</v>
      </c>
      <c r="D432" t="s">
        <v>27</v>
      </c>
      <c r="E432" t="s">
        <v>31</v>
      </c>
      <c r="F432" t="s">
        <v>46</v>
      </c>
      <c r="G432">
        <v>69.08</v>
      </c>
      <c r="H432">
        <v>2</v>
      </c>
      <c r="I432">
        <v>6.9080000000000004</v>
      </c>
      <c r="J432">
        <v>145.06800000000001</v>
      </c>
      <c r="K432" s="1">
        <v>43496</v>
      </c>
      <c r="L432" s="2">
        <v>0.82499999999999996</v>
      </c>
      <c r="M432" t="s">
        <v>33</v>
      </c>
      <c r="N432">
        <v>138.16</v>
      </c>
      <c r="O432">
        <v>4.7619047620000003</v>
      </c>
      <c r="P432">
        <v>6.9080000000000004</v>
      </c>
      <c r="Q432">
        <v>6.9</v>
      </c>
    </row>
    <row r="433" spans="1:17" x14ac:dyDescent="0.3">
      <c r="A433" t="s">
        <v>467</v>
      </c>
      <c r="B433" t="s">
        <v>25</v>
      </c>
      <c r="C433" t="s">
        <v>26</v>
      </c>
      <c r="D433" t="s">
        <v>27</v>
      </c>
      <c r="E433" t="s">
        <v>31</v>
      </c>
      <c r="F433" t="s">
        <v>44</v>
      </c>
      <c r="G433">
        <v>43.27</v>
      </c>
      <c r="H433">
        <v>2</v>
      </c>
      <c r="I433">
        <v>4.327</v>
      </c>
      <c r="J433">
        <v>90.867000000000004</v>
      </c>
      <c r="K433" s="1">
        <v>43532</v>
      </c>
      <c r="L433" s="2">
        <v>0.70347222222222228</v>
      </c>
      <c r="M433" t="s">
        <v>23</v>
      </c>
      <c r="N433">
        <v>86.54</v>
      </c>
      <c r="O43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3">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3">
      <c r="A437" t="s">
        <v>471</v>
      </c>
      <c r="B437" t="s">
        <v>25</v>
      </c>
      <c r="C437" t="s">
        <v>26</v>
      </c>
      <c r="D437" t="s">
        <v>27</v>
      </c>
      <c r="E437" t="s">
        <v>31</v>
      </c>
      <c r="F437" t="s">
        <v>36</v>
      </c>
      <c r="G437">
        <v>99.24</v>
      </c>
      <c r="H437">
        <v>9</v>
      </c>
      <c r="I437">
        <v>44.658000000000001</v>
      </c>
      <c r="J437">
        <v>937.81799999999998</v>
      </c>
      <c r="K437" s="1">
        <v>43543</v>
      </c>
      <c r="L437" s="2">
        <v>0.79791666666666672</v>
      </c>
      <c r="M437" t="s">
        <v>23</v>
      </c>
      <c r="N437">
        <v>893.16</v>
      </c>
      <c r="O437">
        <v>4.7619047620000003</v>
      </c>
      <c r="P437">
        <v>44.658000000000001</v>
      </c>
      <c r="Q437">
        <v>9</v>
      </c>
    </row>
    <row r="438" spans="1:17" x14ac:dyDescent="0.3">
      <c r="A438" t="s">
        <v>472</v>
      </c>
      <c r="B438" t="s">
        <v>25</v>
      </c>
      <c r="C438" t="s">
        <v>26</v>
      </c>
      <c r="D438" t="s">
        <v>20</v>
      </c>
      <c r="E438" t="s">
        <v>31</v>
      </c>
      <c r="F438" t="s">
        <v>36</v>
      </c>
      <c r="G438">
        <v>82.93</v>
      </c>
      <c r="H438">
        <v>4</v>
      </c>
      <c r="I438">
        <v>16.585999999999999</v>
      </c>
      <c r="J438">
        <v>348.30599999999998</v>
      </c>
      <c r="K438" s="1">
        <v>43485</v>
      </c>
      <c r="L438" s="2">
        <v>0.70208333333333328</v>
      </c>
      <c r="M438" t="s">
        <v>23</v>
      </c>
      <c r="N438">
        <v>331.72</v>
      </c>
      <c r="O438">
        <v>4.7619047620000003</v>
      </c>
      <c r="P438">
        <v>16.585999999999999</v>
      </c>
      <c r="Q438">
        <v>9.6</v>
      </c>
    </row>
    <row r="439" spans="1:17" x14ac:dyDescent="0.3">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3">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1">
        <v>43503</v>
      </c>
      <c r="L441" s="2">
        <v>0.60972222222222228</v>
      </c>
      <c r="M441" t="s">
        <v>33</v>
      </c>
      <c r="N441">
        <v>326.88</v>
      </c>
      <c r="O441">
        <v>4.7619047620000003</v>
      </c>
      <c r="P441">
        <v>16.344000000000001</v>
      </c>
      <c r="Q441">
        <v>6.5</v>
      </c>
    </row>
    <row r="442" spans="1:17" x14ac:dyDescent="0.3">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3">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3">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
      <c r="A447" t="s">
        <v>481</v>
      </c>
      <c r="B447" t="s">
        <v>42</v>
      </c>
      <c r="C447" t="s">
        <v>43</v>
      </c>
      <c r="D447" t="s">
        <v>20</v>
      </c>
      <c r="E447" t="s">
        <v>21</v>
      </c>
      <c r="F447" t="s">
        <v>22</v>
      </c>
      <c r="G447">
        <v>19.149999999999999</v>
      </c>
      <c r="H447">
        <v>1</v>
      </c>
      <c r="I447">
        <v>0.95750000000000002</v>
      </c>
      <c r="J447">
        <v>20.107500000000002</v>
      </c>
      <c r="K447" s="1">
        <v>43493</v>
      </c>
      <c r="L447" s="2">
        <v>0.74861111111111112</v>
      </c>
      <c r="M447" t="s">
        <v>33</v>
      </c>
      <c r="N447">
        <v>19.149999999999999</v>
      </c>
      <c r="O447">
        <v>4.7619047620000003</v>
      </c>
      <c r="P447">
        <v>0.95750000000000002</v>
      </c>
      <c r="Q447">
        <v>9.5</v>
      </c>
    </row>
    <row r="448" spans="1:17" x14ac:dyDescent="0.3">
      <c r="A448" t="s">
        <v>482</v>
      </c>
      <c r="B448" t="s">
        <v>25</v>
      </c>
      <c r="C448" t="s">
        <v>26</v>
      </c>
      <c r="D448" t="s">
        <v>20</v>
      </c>
      <c r="E448" t="s">
        <v>31</v>
      </c>
      <c r="F448" t="s">
        <v>44</v>
      </c>
      <c r="G448">
        <v>27.66</v>
      </c>
      <c r="H448">
        <v>10</v>
      </c>
      <c r="I448">
        <v>13.83</v>
      </c>
      <c r="J448">
        <v>290.43</v>
      </c>
      <c r="K448" s="1">
        <v>43510</v>
      </c>
      <c r="L448" s="2">
        <v>0.47638888888888886</v>
      </c>
      <c r="M448" t="s">
        <v>33</v>
      </c>
      <c r="N448">
        <v>276.60000000000002</v>
      </c>
      <c r="O448">
        <v>4.7619047620000003</v>
      </c>
      <c r="P448">
        <v>13.83</v>
      </c>
      <c r="Q448">
        <v>8.9</v>
      </c>
    </row>
    <row r="449" spans="1:17" x14ac:dyDescent="0.3">
      <c r="A449" t="s">
        <v>483</v>
      </c>
      <c r="B449" t="s">
        <v>25</v>
      </c>
      <c r="C449" t="s">
        <v>26</v>
      </c>
      <c r="D449" t="s">
        <v>27</v>
      </c>
      <c r="E449" t="s">
        <v>31</v>
      </c>
      <c r="F449" t="s">
        <v>46</v>
      </c>
      <c r="G449">
        <v>45.74</v>
      </c>
      <c r="H449">
        <v>3</v>
      </c>
      <c r="I449">
        <v>6.8609999999999998</v>
      </c>
      <c r="J449">
        <v>144.08099999999999</v>
      </c>
      <c r="K449" s="1">
        <v>43534</v>
      </c>
      <c r="L449" s="2">
        <v>0.73472222222222228</v>
      </c>
      <c r="M449" t="s">
        <v>33</v>
      </c>
      <c r="N449">
        <v>137.22</v>
      </c>
      <c r="O449">
        <v>4.7619047620000003</v>
      </c>
      <c r="P449">
        <v>6.8609999999999998</v>
      </c>
      <c r="Q449">
        <v>6.5</v>
      </c>
    </row>
    <row r="450" spans="1:17" x14ac:dyDescent="0.3">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3">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3">
      <c r="A452" t="s">
        <v>486</v>
      </c>
      <c r="B452" t="s">
        <v>42</v>
      </c>
      <c r="C452" t="s">
        <v>43</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3">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3">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3">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
      <c r="A461" t="s">
        <v>495</v>
      </c>
      <c r="B461" t="s">
        <v>25</v>
      </c>
      <c r="C461" t="s">
        <v>26</v>
      </c>
      <c r="D461" t="s">
        <v>27</v>
      </c>
      <c r="E461" t="s">
        <v>31</v>
      </c>
      <c r="F461" t="s">
        <v>44</v>
      </c>
      <c r="G461">
        <v>35.89</v>
      </c>
      <c r="H461">
        <v>1</v>
      </c>
      <c r="I461">
        <v>1.7945</v>
      </c>
      <c r="J461">
        <v>37.6845</v>
      </c>
      <c r="K461" s="1">
        <v>43519</v>
      </c>
      <c r="L461" s="2">
        <v>0.70277777777777772</v>
      </c>
      <c r="M461" t="s">
        <v>33</v>
      </c>
      <c r="N461">
        <v>35.89</v>
      </c>
      <c r="O461">
        <v>4.7619047620000003</v>
      </c>
      <c r="P461">
        <v>1.7945</v>
      </c>
      <c r="Q461">
        <v>7.9</v>
      </c>
    </row>
    <row r="462" spans="1:17" x14ac:dyDescent="0.3">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
      <c r="A463" t="s">
        <v>497</v>
      </c>
      <c r="B463" t="s">
        <v>42</v>
      </c>
      <c r="C463" t="s">
        <v>43</v>
      </c>
      <c r="D463" t="s">
        <v>20</v>
      </c>
      <c r="E463" t="s">
        <v>21</v>
      </c>
      <c r="F463" t="s">
        <v>44</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3">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3">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3">
      <c r="A467" t="s">
        <v>501</v>
      </c>
      <c r="B467" t="s">
        <v>25</v>
      </c>
      <c r="C467" t="s">
        <v>26</v>
      </c>
      <c r="D467" t="s">
        <v>20</v>
      </c>
      <c r="E467" t="s">
        <v>21</v>
      </c>
      <c r="F467" t="s">
        <v>36</v>
      </c>
      <c r="G467">
        <v>54.55</v>
      </c>
      <c r="H467">
        <v>10</v>
      </c>
      <c r="I467">
        <v>27.274999999999999</v>
      </c>
      <c r="J467">
        <v>572.77499999999998</v>
      </c>
      <c r="K467" s="1">
        <v>43526</v>
      </c>
      <c r="L467" s="2">
        <v>0.47361111111111109</v>
      </c>
      <c r="M467" t="s">
        <v>33</v>
      </c>
      <c r="N467">
        <v>545.5</v>
      </c>
      <c r="O467">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1">
        <v>43504</v>
      </c>
      <c r="L468" s="2">
        <v>0.55000000000000004</v>
      </c>
      <c r="M468" t="s">
        <v>33</v>
      </c>
      <c r="N468">
        <v>260.05</v>
      </c>
      <c r="O468">
        <v>4.7619047620000003</v>
      </c>
      <c r="P468">
        <v>13.0025</v>
      </c>
      <c r="Q468">
        <v>7.7</v>
      </c>
    </row>
    <row r="469" spans="1:17" x14ac:dyDescent="0.3">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3">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3">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
      <c r="A474" t="s">
        <v>508</v>
      </c>
      <c r="B474" t="s">
        <v>18</v>
      </c>
      <c r="C474" t="s">
        <v>19</v>
      </c>
      <c r="D474" t="s">
        <v>20</v>
      </c>
      <c r="E474" t="s">
        <v>31</v>
      </c>
      <c r="F474" t="s">
        <v>46</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509</v>
      </c>
      <c r="B475" t="s">
        <v>42</v>
      </c>
      <c r="C475" t="s">
        <v>43</v>
      </c>
      <c r="D475" t="s">
        <v>20</v>
      </c>
      <c r="E475" t="s">
        <v>31</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3">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3">
      <c r="A479" t="s">
        <v>513</v>
      </c>
      <c r="B479" t="s">
        <v>25</v>
      </c>
      <c r="C479" t="s">
        <v>26</v>
      </c>
      <c r="D479" t="s">
        <v>27</v>
      </c>
      <c r="E479" t="s">
        <v>31</v>
      </c>
      <c r="F479" t="s">
        <v>28</v>
      </c>
      <c r="G479">
        <v>84.07</v>
      </c>
      <c r="H479">
        <v>4</v>
      </c>
      <c r="I479">
        <v>16.814</v>
      </c>
      <c r="J479">
        <v>353.09399999999999</v>
      </c>
      <c r="K479" s="1">
        <v>43531</v>
      </c>
      <c r="L479" s="2">
        <v>0.70416666666666672</v>
      </c>
      <c r="M479" t="s">
        <v>23</v>
      </c>
      <c r="N479">
        <v>336.28</v>
      </c>
      <c r="O479">
        <v>4.7619047620000003</v>
      </c>
      <c r="P479">
        <v>16.814</v>
      </c>
      <c r="Q479">
        <v>4.4000000000000004</v>
      </c>
    </row>
    <row r="480" spans="1:17" x14ac:dyDescent="0.3">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
      <c r="A481" t="s">
        <v>515</v>
      </c>
      <c r="B481" t="s">
        <v>18</v>
      </c>
      <c r="C481" t="s">
        <v>19</v>
      </c>
      <c r="D481" t="s">
        <v>27</v>
      </c>
      <c r="E481" t="s">
        <v>31</v>
      </c>
      <c r="F481" t="s">
        <v>28</v>
      </c>
      <c r="G481">
        <v>38.6</v>
      </c>
      <c r="H481">
        <v>1</v>
      </c>
      <c r="I481">
        <v>1.93</v>
      </c>
      <c r="J481">
        <v>40.53</v>
      </c>
      <c r="K481" s="1">
        <v>43494</v>
      </c>
      <c r="L481" s="2">
        <v>0.47638888888888886</v>
      </c>
      <c r="M481" t="s">
        <v>23</v>
      </c>
      <c r="N481">
        <v>38.6</v>
      </c>
      <c r="O481">
        <v>4.7619047620000003</v>
      </c>
      <c r="P481">
        <v>1.93</v>
      </c>
      <c r="Q481">
        <v>6.7</v>
      </c>
    </row>
    <row r="482" spans="1:17" x14ac:dyDescent="0.3">
      <c r="A482" t="s">
        <v>516</v>
      </c>
      <c r="B482" t="s">
        <v>25</v>
      </c>
      <c r="C482" t="s">
        <v>26</v>
      </c>
      <c r="D482" t="s">
        <v>27</v>
      </c>
      <c r="E482" t="s">
        <v>31</v>
      </c>
      <c r="F482" t="s">
        <v>44</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
      <c r="A484" t="s">
        <v>518</v>
      </c>
      <c r="B484" t="s">
        <v>18</v>
      </c>
      <c r="C484" t="s">
        <v>19</v>
      </c>
      <c r="D484" t="s">
        <v>27</v>
      </c>
      <c r="E484" t="s">
        <v>31</v>
      </c>
      <c r="F484" t="s">
        <v>36</v>
      </c>
      <c r="G484">
        <v>37.14</v>
      </c>
      <c r="H484">
        <v>5</v>
      </c>
      <c r="I484">
        <v>9.2850000000000001</v>
      </c>
      <c r="J484">
        <v>194.98500000000001</v>
      </c>
      <c r="K484" s="1">
        <v>43473</v>
      </c>
      <c r="L484" s="2">
        <v>0.54513888888888884</v>
      </c>
      <c r="M484" t="s">
        <v>23</v>
      </c>
      <c r="N484">
        <v>185.7</v>
      </c>
      <c r="O484">
        <v>4.7619047620000003</v>
      </c>
      <c r="P484">
        <v>9.2850000000000001</v>
      </c>
      <c r="Q484">
        <v>5</v>
      </c>
    </row>
    <row r="485" spans="1:17" x14ac:dyDescent="0.3">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3">
      <c r="A486" t="s">
        <v>520</v>
      </c>
      <c r="B486" t="s">
        <v>25</v>
      </c>
      <c r="C486" t="s">
        <v>26</v>
      </c>
      <c r="D486" t="s">
        <v>20</v>
      </c>
      <c r="E486" t="s">
        <v>21</v>
      </c>
      <c r="F486" t="s">
        <v>36</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521</v>
      </c>
      <c r="B487" t="s">
        <v>42</v>
      </c>
      <c r="C487" t="s">
        <v>43</v>
      </c>
      <c r="D487" t="s">
        <v>20</v>
      </c>
      <c r="E487" t="s">
        <v>21</v>
      </c>
      <c r="F487" t="s">
        <v>36</v>
      </c>
      <c r="G487">
        <v>49.49</v>
      </c>
      <c r="H487">
        <v>4</v>
      </c>
      <c r="I487">
        <v>9.8979999999999997</v>
      </c>
      <c r="J487">
        <v>207.858</v>
      </c>
      <c r="K487" s="1">
        <v>43545</v>
      </c>
      <c r="L487" s="2">
        <v>0.64236111111111116</v>
      </c>
      <c r="M487" t="s">
        <v>23</v>
      </c>
      <c r="N487">
        <v>197.96</v>
      </c>
      <c r="O487">
        <v>4.7619047620000003</v>
      </c>
      <c r="P487">
        <v>9.8979999999999997</v>
      </c>
      <c r="Q487">
        <v>6.6</v>
      </c>
    </row>
    <row r="488" spans="1:17" x14ac:dyDescent="0.3">
      <c r="A488" t="s">
        <v>522</v>
      </c>
      <c r="B488" t="s">
        <v>42</v>
      </c>
      <c r="C488" t="s">
        <v>43</v>
      </c>
      <c r="D488" t="s">
        <v>27</v>
      </c>
      <c r="E488" t="s">
        <v>21</v>
      </c>
      <c r="F488" t="s">
        <v>46</v>
      </c>
      <c r="G488">
        <v>41.09</v>
      </c>
      <c r="H488">
        <v>10</v>
      </c>
      <c r="I488">
        <v>20.545000000000002</v>
      </c>
      <c r="J488">
        <v>431.44499999999999</v>
      </c>
      <c r="K488" s="1">
        <v>43524</v>
      </c>
      <c r="L488" s="2">
        <v>0.61250000000000004</v>
      </c>
      <c r="M488" t="s">
        <v>29</v>
      </c>
      <c r="N488">
        <v>410.9</v>
      </c>
      <c r="O488">
        <v>4.7619047620000003</v>
      </c>
      <c r="P488">
        <v>20.545000000000002</v>
      </c>
      <c r="Q488">
        <v>7.3</v>
      </c>
    </row>
    <row r="489" spans="1:17" x14ac:dyDescent="0.3">
      <c r="A489" t="s">
        <v>523</v>
      </c>
      <c r="B489" t="s">
        <v>18</v>
      </c>
      <c r="C489" t="s">
        <v>19</v>
      </c>
      <c r="D489" t="s">
        <v>27</v>
      </c>
      <c r="E489" t="s">
        <v>31</v>
      </c>
      <c r="F489" t="s">
        <v>46</v>
      </c>
      <c r="G489">
        <v>37.15</v>
      </c>
      <c r="H489">
        <v>4</v>
      </c>
      <c r="I489">
        <v>7.43</v>
      </c>
      <c r="J489">
        <v>156.03</v>
      </c>
      <c r="K489" s="1">
        <v>43547</v>
      </c>
      <c r="L489" s="2">
        <v>0.79097222222222219</v>
      </c>
      <c r="M489" t="s">
        <v>23</v>
      </c>
      <c r="N489">
        <v>148.6</v>
      </c>
      <c r="O489">
        <v>4.7619047620000003</v>
      </c>
      <c r="P489">
        <v>7.43</v>
      </c>
      <c r="Q489">
        <v>8.3000000000000007</v>
      </c>
    </row>
    <row r="490" spans="1:17" x14ac:dyDescent="0.3">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
      <c r="A492" t="s">
        <v>526</v>
      </c>
      <c r="B492" t="s">
        <v>42</v>
      </c>
      <c r="C492" t="s">
        <v>43</v>
      </c>
      <c r="D492" t="s">
        <v>27</v>
      </c>
      <c r="E492" t="s">
        <v>21</v>
      </c>
      <c r="F492" t="s">
        <v>46</v>
      </c>
      <c r="G492">
        <v>34.700000000000003</v>
      </c>
      <c r="H492">
        <v>2</v>
      </c>
      <c r="I492">
        <v>3.47</v>
      </c>
      <c r="J492">
        <v>72.87</v>
      </c>
      <c r="K492" s="1">
        <v>43537</v>
      </c>
      <c r="L492" s="2">
        <v>0.82499999999999996</v>
      </c>
      <c r="M492" t="s">
        <v>23</v>
      </c>
      <c r="N492">
        <v>69.400000000000006</v>
      </c>
      <c r="O492">
        <v>4.7619047620000003</v>
      </c>
      <c r="P492">
        <v>3.47</v>
      </c>
      <c r="Q492">
        <v>8.1999999999999993</v>
      </c>
    </row>
    <row r="493" spans="1:17" x14ac:dyDescent="0.3">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3">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3">
      <c r="A496" t="s">
        <v>530</v>
      </c>
      <c r="B496" t="s">
        <v>42</v>
      </c>
      <c r="C496" t="s">
        <v>43</v>
      </c>
      <c r="D496" t="s">
        <v>27</v>
      </c>
      <c r="E496" t="s">
        <v>31</v>
      </c>
      <c r="F496" t="s">
        <v>46</v>
      </c>
      <c r="G496">
        <v>99.89</v>
      </c>
      <c r="H496">
        <v>2</v>
      </c>
      <c r="I496">
        <v>9.9890000000000008</v>
      </c>
      <c r="J496">
        <v>209.76900000000001</v>
      </c>
      <c r="K496" s="1">
        <v>43522</v>
      </c>
      <c r="L496" s="2">
        <v>0.49166666666666664</v>
      </c>
      <c r="M496" t="s">
        <v>23</v>
      </c>
      <c r="N496">
        <v>199.78</v>
      </c>
      <c r="O496">
        <v>4.7619047620000003</v>
      </c>
      <c r="P496">
        <v>9.9890000000000008</v>
      </c>
      <c r="Q496">
        <v>7.1</v>
      </c>
    </row>
    <row r="497" spans="1:17" x14ac:dyDescent="0.3">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
      <c r="A500" t="s">
        <v>534</v>
      </c>
      <c r="B500" t="s">
        <v>42</v>
      </c>
      <c r="C500" t="s">
        <v>43</v>
      </c>
      <c r="D500" t="s">
        <v>20</v>
      </c>
      <c r="E500" t="s">
        <v>21</v>
      </c>
      <c r="F500" t="s">
        <v>36</v>
      </c>
      <c r="G500">
        <v>98.13</v>
      </c>
      <c r="H500">
        <v>1</v>
      </c>
      <c r="I500">
        <v>4.9065000000000003</v>
      </c>
      <c r="J500">
        <v>103.0365</v>
      </c>
      <c r="K500" s="1">
        <v>43486</v>
      </c>
      <c r="L500" s="2">
        <v>0.73333333333333328</v>
      </c>
      <c r="M500" t="s">
        <v>29</v>
      </c>
      <c r="N500">
        <v>98.13</v>
      </c>
      <c r="O500">
        <v>4.7619047620000003</v>
      </c>
      <c r="P500">
        <v>4.9065000000000003</v>
      </c>
      <c r="Q500">
        <v>8.9</v>
      </c>
    </row>
    <row r="501" spans="1:17" x14ac:dyDescent="0.3">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3">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3">
      <c r="A504" t="s">
        <v>538</v>
      </c>
      <c r="B504" t="s">
        <v>25</v>
      </c>
      <c r="C504" t="s">
        <v>26</v>
      </c>
      <c r="D504" t="s">
        <v>27</v>
      </c>
      <c r="E504" t="s">
        <v>31</v>
      </c>
      <c r="F504" t="s">
        <v>32</v>
      </c>
      <c r="G504">
        <v>69.400000000000006</v>
      </c>
      <c r="H504">
        <v>2</v>
      </c>
      <c r="I504">
        <v>6.94</v>
      </c>
      <c r="J504">
        <v>145.74</v>
      </c>
      <c r="K504" s="1">
        <v>43492</v>
      </c>
      <c r="L504" s="2">
        <v>0.82499999999999996</v>
      </c>
      <c r="M504" t="s">
        <v>23</v>
      </c>
      <c r="N504">
        <v>138.80000000000001</v>
      </c>
      <c r="O504">
        <v>4.7619047620000003</v>
      </c>
      <c r="P504">
        <v>6.94</v>
      </c>
      <c r="Q504">
        <v>9</v>
      </c>
    </row>
    <row r="505" spans="1:17" x14ac:dyDescent="0.3">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
      <c r="A506" t="s">
        <v>540</v>
      </c>
      <c r="B506" t="s">
        <v>42</v>
      </c>
      <c r="C506" t="s">
        <v>43</v>
      </c>
      <c r="D506" t="s">
        <v>27</v>
      </c>
      <c r="E506" t="s">
        <v>31</v>
      </c>
      <c r="F506" t="s">
        <v>36</v>
      </c>
      <c r="G506">
        <v>88.45</v>
      </c>
      <c r="H506">
        <v>1</v>
      </c>
      <c r="I506">
        <v>4.4225000000000003</v>
      </c>
      <c r="J506">
        <v>92.872500000000002</v>
      </c>
      <c r="K506" s="1">
        <v>43521</v>
      </c>
      <c r="L506" s="2">
        <v>0.69166666666666665</v>
      </c>
      <c r="M506" t="s">
        <v>33</v>
      </c>
      <c r="N506">
        <v>88.45</v>
      </c>
      <c r="O506">
        <v>4.7619047620000003</v>
      </c>
      <c r="P506">
        <v>4.4225000000000003</v>
      </c>
      <c r="Q506">
        <v>9.5</v>
      </c>
    </row>
    <row r="507" spans="1:17" x14ac:dyDescent="0.3">
      <c r="A507" t="s">
        <v>541</v>
      </c>
      <c r="B507" t="s">
        <v>18</v>
      </c>
      <c r="C507" t="s">
        <v>19</v>
      </c>
      <c r="D507" t="s">
        <v>20</v>
      </c>
      <c r="E507" t="s">
        <v>31</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row>
    <row r="508" spans="1:17" x14ac:dyDescent="0.3">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3">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3">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3">
      <c r="A513" t="s">
        <v>547</v>
      </c>
      <c r="B513" t="s">
        <v>18</v>
      </c>
      <c r="C513" t="s">
        <v>19</v>
      </c>
      <c r="D513" t="s">
        <v>27</v>
      </c>
      <c r="E513" t="s">
        <v>21</v>
      </c>
      <c r="F513" t="s">
        <v>32</v>
      </c>
      <c r="G513">
        <v>42.91</v>
      </c>
      <c r="H513">
        <v>5</v>
      </c>
      <c r="I513">
        <v>10.727499999999999</v>
      </c>
      <c r="J513">
        <v>225.2775</v>
      </c>
      <c r="K513" s="1">
        <v>43470</v>
      </c>
      <c r="L513" s="2">
        <v>0.72847222222222219</v>
      </c>
      <c r="M513" t="s">
        <v>23</v>
      </c>
      <c r="N513">
        <v>214.55</v>
      </c>
      <c r="O513">
        <v>4.7619047620000003</v>
      </c>
      <c r="P513">
        <v>10.727499999999999</v>
      </c>
      <c r="Q513">
        <v>6.1</v>
      </c>
    </row>
    <row r="514" spans="1:17" x14ac:dyDescent="0.3">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3">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
      <c r="A518" t="s">
        <v>552</v>
      </c>
      <c r="B518" t="s">
        <v>42</v>
      </c>
      <c r="C518" t="s">
        <v>43</v>
      </c>
      <c r="D518" t="s">
        <v>20</v>
      </c>
      <c r="E518" t="s">
        <v>31</v>
      </c>
      <c r="F518" t="s">
        <v>22</v>
      </c>
      <c r="G518">
        <v>54.86</v>
      </c>
      <c r="H518">
        <v>5</v>
      </c>
      <c r="I518">
        <v>13.715</v>
      </c>
      <c r="J518">
        <v>288.01499999999999</v>
      </c>
      <c r="K518" s="1">
        <v>43553</v>
      </c>
      <c r="L518" s="2">
        <v>0.7</v>
      </c>
      <c r="M518" t="s">
        <v>23</v>
      </c>
      <c r="N518">
        <v>274.3</v>
      </c>
      <c r="O518">
        <v>4.7619047620000003</v>
      </c>
      <c r="P518">
        <v>13.715</v>
      </c>
      <c r="Q518">
        <v>9.8000000000000007</v>
      </c>
    </row>
    <row r="519" spans="1:17" x14ac:dyDescent="0.3">
      <c r="A519" t="s">
        <v>553</v>
      </c>
      <c r="B519" t="s">
        <v>25</v>
      </c>
      <c r="C519" t="s">
        <v>26</v>
      </c>
      <c r="D519" t="s">
        <v>20</v>
      </c>
      <c r="E519" t="s">
        <v>31</v>
      </c>
      <c r="F519" t="s">
        <v>32</v>
      </c>
      <c r="G519">
        <v>39.39</v>
      </c>
      <c r="H519">
        <v>5</v>
      </c>
      <c r="I519">
        <v>9.8475000000000001</v>
      </c>
      <c r="J519">
        <v>206.79750000000001</v>
      </c>
      <c r="K519" s="1">
        <v>43487</v>
      </c>
      <c r="L519" s="2">
        <v>0.86527777777777781</v>
      </c>
      <c r="M519" t="s">
        <v>33</v>
      </c>
      <c r="N519">
        <v>196.95</v>
      </c>
      <c r="O519">
        <v>4.7619047620000003</v>
      </c>
      <c r="P519">
        <v>9.8475000000000001</v>
      </c>
      <c r="Q519">
        <v>8.6999999999999993</v>
      </c>
    </row>
    <row r="520" spans="1:17" x14ac:dyDescent="0.3">
      <c r="A520" t="s">
        <v>554</v>
      </c>
      <c r="B520" t="s">
        <v>18</v>
      </c>
      <c r="C520" t="s">
        <v>19</v>
      </c>
      <c r="D520" t="s">
        <v>27</v>
      </c>
      <c r="E520" t="s">
        <v>31</v>
      </c>
      <c r="F520" t="s">
        <v>32</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row>
    <row r="521" spans="1:17" x14ac:dyDescent="0.3">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3">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3">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
      <c r="A524" t="s">
        <v>558</v>
      </c>
      <c r="B524" t="s">
        <v>18</v>
      </c>
      <c r="C524" t="s">
        <v>19</v>
      </c>
      <c r="D524" t="s">
        <v>20</v>
      </c>
      <c r="E524" t="s">
        <v>21</v>
      </c>
      <c r="F524" t="s">
        <v>32</v>
      </c>
      <c r="G524">
        <v>37.44</v>
      </c>
      <c r="H524">
        <v>6</v>
      </c>
      <c r="I524">
        <v>11.231999999999999</v>
      </c>
      <c r="J524">
        <v>235.87200000000001</v>
      </c>
      <c r="K524" s="1">
        <v>43502</v>
      </c>
      <c r="L524" s="2">
        <v>0.57986111111111116</v>
      </c>
      <c r="M524" t="s">
        <v>33</v>
      </c>
      <c r="N524">
        <v>224.64</v>
      </c>
      <c r="O524">
        <v>4.7619047620000003</v>
      </c>
      <c r="P524">
        <v>11.231999999999999</v>
      </c>
      <c r="Q524">
        <v>5.9</v>
      </c>
    </row>
    <row r="525" spans="1:17" x14ac:dyDescent="0.3">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3">
      <c r="A527" t="s">
        <v>561</v>
      </c>
      <c r="B527" t="s">
        <v>18</v>
      </c>
      <c r="C527" t="s">
        <v>19</v>
      </c>
      <c r="D527" t="s">
        <v>20</v>
      </c>
      <c r="E527" t="s">
        <v>21</v>
      </c>
      <c r="F527" t="s">
        <v>36</v>
      </c>
      <c r="G527">
        <v>91.41</v>
      </c>
      <c r="H527">
        <v>5</v>
      </c>
      <c r="I527">
        <v>22.852499999999999</v>
      </c>
      <c r="J527">
        <v>479.90249999999997</v>
      </c>
      <c r="K527" s="1">
        <v>43521</v>
      </c>
      <c r="L527" s="2">
        <v>0.66874999999999996</v>
      </c>
      <c r="M527" t="s">
        <v>23</v>
      </c>
      <c r="N527">
        <v>457.05</v>
      </c>
      <c r="O527">
        <v>4.7619047620000003</v>
      </c>
      <c r="P527">
        <v>22.852499999999999</v>
      </c>
      <c r="Q527">
        <v>7.1</v>
      </c>
    </row>
    <row r="528" spans="1:17" x14ac:dyDescent="0.3">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3">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3">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3">
      <c r="A534" t="s">
        <v>568</v>
      </c>
      <c r="B534" t="s">
        <v>42</v>
      </c>
      <c r="C534" t="s">
        <v>43</v>
      </c>
      <c r="D534" t="s">
        <v>27</v>
      </c>
      <c r="E534" t="s">
        <v>31</v>
      </c>
      <c r="F534" t="s">
        <v>28</v>
      </c>
      <c r="G534">
        <v>22.95</v>
      </c>
      <c r="H534">
        <v>10</v>
      </c>
      <c r="I534">
        <v>11.475</v>
      </c>
      <c r="J534">
        <v>240.97499999999999</v>
      </c>
      <c r="K534" s="1">
        <v>43502</v>
      </c>
      <c r="L534" s="2">
        <v>0.80555555555555558</v>
      </c>
      <c r="M534" t="s">
        <v>23</v>
      </c>
      <c r="N534">
        <v>229.5</v>
      </c>
      <c r="O534">
        <v>4.7619047620000003</v>
      </c>
      <c r="P534">
        <v>11.475</v>
      </c>
      <c r="Q534">
        <v>8.1999999999999993</v>
      </c>
    </row>
    <row r="535" spans="1:17" x14ac:dyDescent="0.3">
      <c r="A535" t="s">
        <v>569</v>
      </c>
      <c r="B535" t="s">
        <v>25</v>
      </c>
      <c r="C535" t="s">
        <v>26</v>
      </c>
      <c r="D535" t="s">
        <v>27</v>
      </c>
      <c r="E535" t="s">
        <v>21</v>
      </c>
      <c r="F535" t="s">
        <v>44</v>
      </c>
      <c r="G535">
        <v>16.309999999999999</v>
      </c>
      <c r="H535">
        <v>9</v>
      </c>
      <c r="I535">
        <v>7.3395000000000001</v>
      </c>
      <c r="J535">
        <v>154.12950000000001</v>
      </c>
      <c r="K535" s="1">
        <v>43550</v>
      </c>
      <c r="L535" s="2">
        <v>0.43819444444444444</v>
      </c>
      <c r="M535" t="s">
        <v>23</v>
      </c>
      <c r="N535">
        <v>146.79</v>
      </c>
      <c r="O535">
        <v>4.7619047620000003</v>
      </c>
      <c r="P535">
        <v>7.3395000000000001</v>
      </c>
      <c r="Q535">
        <v>8.4</v>
      </c>
    </row>
    <row r="536" spans="1:17" x14ac:dyDescent="0.3">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3">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3">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3">
      <c r="A541" t="s">
        <v>575</v>
      </c>
      <c r="B541" t="s">
        <v>25</v>
      </c>
      <c r="C541" t="s">
        <v>26</v>
      </c>
      <c r="D541" t="s">
        <v>20</v>
      </c>
      <c r="E541" t="s">
        <v>21</v>
      </c>
      <c r="F541" t="s">
        <v>44</v>
      </c>
      <c r="G541">
        <v>87.48</v>
      </c>
      <c r="H541">
        <v>6</v>
      </c>
      <c r="I541">
        <v>26.244</v>
      </c>
      <c r="J541">
        <v>551.12400000000002</v>
      </c>
      <c r="K541" s="1">
        <v>43497</v>
      </c>
      <c r="L541" s="2">
        <v>0.77986111111111112</v>
      </c>
      <c r="M541" t="s">
        <v>23</v>
      </c>
      <c r="N541">
        <v>524.88</v>
      </c>
      <c r="O541">
        <v>4.7619047620000003</v>
      </c>
      <c r="P541">
        <v>26.244</v>
      </c>
      <c r="Q541">
        <v>5.0999999999999996</v>
      </c>
    </row>
    <row r="542" spans="1:17" x14ac:dyDescent="0.3">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3">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3">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3">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3">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3">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3">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
      <c r="A555" t="s">
        <v>589</v>
      </c>
      <c r="B555" t="s">
        <v>25</v>
      </c>
      <c r="C555" t="s">
        <v>26</v>
      </c>
      <c r="D555" t="s">
        <v>27</v>
      </c>
      <c r="E555" t="s">
        <v>31</v>
      </c>
      <c r="F555" t="s">
        <v>28</v>
      </c>
      <c r="G555">
        <v>22.21</v>
      </c>
      <c r="H555">
        <v>6</v>
      </c>
      <c r="I555">
        <v>6.6630000000000003</v>
      </c>
      <c r="J555">
        <v>139.923</v>
      </c>
      <c r="K555" s="1">
        <v>43531</v>
      </c>
      <c r="L555" s="2">
        <v>0.43263888888888891</v>
      </c>
      <c r="M555" t="s">
        <v>33</v>
      </c>
      <c r="N555">
        <v>133.26</v>
      </c>
      <c r="O555">
        <v>4.7619047620000003</v>
      </c>
      <c r="P555">
        <v>6.6630000000000003</v>
      </c>
      <c r="Q555">
        <v>8.6</v>
      </c>
    </row>
    <row r="556" spans="1:17" x14ac:dyDescent="0.3">
      <c r="A556" t="s">
        <v>590</v>
      </c>
      <c r="B556" t="s">
        <v>18</v>
      </c>
      <c r="C556" t="s">
        <v>19</v>
      </c>
      <c r="D556" t="s">
        <v>20</v>
      </c>
      <c r="E556" t="s">
        <v>31</v>
      </c>
      <c r="F556" t="s">
        <v>28</v>
      </c>
      <c r="G556">
        <v>19.32</v>
      </c>
      <c r="H556">
        <v>7</v>
      </c>
      <c r="I556">
        <v>6.7619999999999996</v>
      </c>
      <c r="J556">
        <v>142.00200000000001</v>
      </c>
      <c r="K556" s="1">
        <v>43549</v>
      </c>
      <c r="L556" s="2">
        <v>0.78541666666666665</v>
      </c>
      <c r="M556" t="s">
        <v>29</v>
      </c>
      <c r="N556">
        <v>135.24</v>
      </c>
      <c r="O556">
        <v>4.7619047620000003</v>
      </c>
      <c r="P556">
        <v>6.7619999999999996</v>
      </c>
      <c r="Q556">
        <v>6.9</v>
      </c>
    </row>
    <row r="557" spans="1:17" x14ac:dyDescent="0.3">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3">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3">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
      <c r="A561" t="s">
        <v>595</v>
      </c>
      <c r="B561" t="s">
        <v>18</v>
      </c>
      <c r="C561" t="s">
        <v>19</v>
      </c>
      <c r="D561" t="s">
        <v>20</v>
      </c>
      <c r="E561" t="s">
        <v>21</v>
      </c>
      <c r="F561" t="s">
        <v>32</v>
      </c>
      <c r="G561">
        <v>72.42</v>
      </c>
      <c r="H561">
        <v>3</v>
      </c>
      <c r="I561">
        <v>10.863</v>
      </c>
      <c r="J561">
        <v>228.12299999999999</v>
      </c>
      <c r="K561" s="1">
        <v>43553</v>
      </c>
      <c r="L561" s="2">
        <v>0.70416666666666672</v>
      </c>
      <c r="M561" t="s">
        <v>23</v>
      </c>
      <c r="N561">
        <v>217.26</v>
      </c>
      <c r="O561">
        <v>4.7619047620000003</v>
      </c>
      <c r="P561">
        <v>10.863</v>
      </c>
      <c r="Q561">
        <v>8.1999999999999993</v>
      </c>
    </row>
    <row r="562" spans="1:17" x14ac:dyDescent="0.3">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3">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
      <c r="A567" t="s">
        <v>601</v>
      </c>
      <c r="B567" t="s">
        <v>18</v>
      </c>
      <c r="C567" t="s">
        <v>19</v>
      </c>
      <c r="D567" t="s">
        <v>27</v>
      </c>
      <c r="E567" t="s">
        <v>21</v>
      </c>
      <c r="F567" t="s">
        <v>44</v>
      </c>
      <c r="G567">
        <v>81.209999999999994</v>
      </c>
      <c r="H567">
        <v>10</v>
      </c>
      <c r="I567">
        <v>40.604999999999997</v>
      </c>
      <c r="J567">
        <v>852.70500000000004</v>
      </c>
      <c r="K567" s="1">
        <v>43482</v>
      </c>
      <c r="L567" s="2">
        <v>0.54236111111111107</v>
      </c>
      <c r="M567" t="s">
        <v>33</v>
      </c>
      <c r="N567">
        <v>812.1</v>
      </c>
      <c r="O567">
        <v>4.7619047620000003</v>
      </c>
      <c r="P567">
        <v>40.604999999999997</v>
      </c>
      <c r="Q567">
        <v>6.3</v>
      </c>
    </row>
    <row r="568" spans="1:17" x14ac:dyDescent="0.3">
      <c r="A568" t="s">
        <v>602</v>
      </c>
      <c r="B568" t="s">
        <v>25</v>
      </c>
      <c r="C568" t="s">
        <v>26</v>
      </c>
      <c r="D568" t="s">
        <v>27</v>
      </c>
      <c r="E568" t="s">
        <v>21</v>
      </c>
      <c r="F568" t="s">
        <v>36</v>
      </c>
      <c r="G568">
        <v>49.33</v>
      </c>
      <c r="H568">
        <v>10</v>
      </c>
      <c r="I568">
        <v>24.664999999999999</v>
      </c>
      <c r="J568">
        <v>517.96500000000003</v>
      </c>
      <c r="K568" s="1">
        <v>43499</v>
      </c>
      <c r="L568" s="2">
        <v>0.69444444444444442</v>
      </c>
      <c r="M568" t="s">
        <v>33</v>
      </c>
      <c r="N568">
        <v>493.3</v>
      </c>
      <c r="O568">
        <v>4.7619047620000003</v>
      </c>
      <c r="P568">
        <v>24.664999999999999</v>
      </c>
      <c r="Q568">
        <v>9.4</v>
      </c>
    </row>
    <row r="569" spans="1:17" x14ac:dyDescent="0.3">
      <c r="A569" t="s">
        <v>603</v>
      </c>
      <c r="B569" t="s">
        <v>18</v>
      </c>
      <c r="C569" t="s">
        <v>19</v>
      </c>
      <c r="D569" t="s">
        <v>27</v>
      </c>
      <c r="E569" t="s">
        <v>21</v>
      </c>
      <c r="F569" t="s">
        <v>46</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604</v>
      </c>
      <c r="B570" t="s">
        <v>42</v>
      </c>
      <c r="C570" t="s">
        <v>43</v>
      </c>
      <c r="D570" t="s">
        <v>27</v>
      </c>
      <c r="E570" t="s">
        <v>21</v>
      </c>
      <c r="F570" t="s">
        <v>46</v>
      </c>
      <c r="G570">
        <v>79.86</v>
      </c>
      <c r="H570">
        <v>7</v>
      </c>
      <c r="I570">
        <v>27.951000000000001</v>
      </c>
      <c r="J570">
        <v>586.971</v>
      </c>
      <c r="K570" s="1">
        <v>43475</v>
      </c>
      <c r="L570" s="2">
        <v>0.43958333333333333</v>
      </c>
      <c r="M570" t="s">
        <v>33</v>
      </c>
      <c r="N570">
        <v>559.02</v>
      </c>
      <c r="O570">
        <v>4.7619047620000003</v>
      </c>
      <c r="P570">
        <v>27.951000000000001</v>
      </c>
      <c r="Q570">
        <v>5.5</v>
      </c>
    </row>
    <row r="571" spans="1:17" x14ac:dyDescent="0.3">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3">
      <c r="A573" t="s">
        <v>607</v>
      </c>
      <c r="B573" t="s">
        <v>42</v>
      </c>
      <c r="C573" t="s">
        <v>43</v>
      </c>
      <c r="D573" t="s">
        <v>20</v>
      </c>
      <c r="E573" t="s">
        <v>31</v>
      </c>
      <c r="F573" t="s">
        <v>36</v>
      </c>
      <c r="G573">
        <v>26.67</v>
      </c>
      <c r="H573">
        <v>10</v>
      </c>
      <c r="I573">
        <v>13.335000000000001</v>
      </c>
      <c r="J573">
        <v>280.03500000000003</v>
      </c>
      <c r="K573" s="1">
        <v>43494</v>
      </c>
      <c r="L573" s="2">
        <v>0.49166666666666664</v>
      </c>
      <c r="M573" t="s">
        <v>29</v>
      </c>
      <c r="N573">
        <v>266.7</v>
      </c>
      <c r="O573">
        <v>4.7619047620000003</v>
      </c>
      <c r="P573">
        <v>13.335000000000001</v>
      </c>
      <c r="Q573">
        <v>8.6</v>
      </c>
    </row>
    <row r="574" spans="1:17" x14ac:dyDescent="0.3">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3">
      <c r="A576" t="s">
        <v>610</v>
      </c>
      <c r="B576" t="s">
        <v>18</v>
      </c>
      <c r="C576" t="s">
        <v>19</v>
      </c>
      <c r="D576" t="s">
        <v>27</v>
      </c>
      <c r="E576" t="s">
        <v>31</v>
      </c>
      <c r="F576" t="s">
        <v>36</v>
      </c>
      <c r="G576">
        <v>85.91</v>
      </c>
      <c r="H576">
        <v>5</v>
      </c>
      <c r="I576">
        <v>21.477499999999999</v>
      </c>
      <c r="J576">
        <v>451.02749999999997</v>
      </c>
      <c r="K576" s="1">
        <v>43546</v>
      </c>
      <c r="L576" s="2">
        <v>0.60624999999999996</v>
      </c>
      <c r="M576" t="s">
        <v>33</v>
      </c>
      <c r="N576">
        <v>429.55</v>
      </c>
      <c r="O576">
        <v>4.7619047620000003</v>
      </c>
      <c r="P576">
        <v>21.477499999999999</v>
      </c>
      <c r="Q576">
        <v>8.6</v>
      </c>
    </row>
    <row r="577" spans="1:17" x14ac:dyDescent="0.3">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
      <c r="A578" t="s">
        <v>612</v>
      </c>
      <c r="B578" t="s">
        <v>42</v>
      </c>
      <c r="C578" t="s">
        <v>43</v>
      </c>
      <c r="D578" t="s">
        <v>27</v>
      </c>
      <c r="E578" t="s">
        <v>31</v>
      </c>
      <c r="F578" t="s">
        <v>44</v>
      </c>
      <c r="G578">
        <v>60.3</v>
      </c>
      <c r="H578">
        <v>4</v>
      </c>
      <c r="I578">
        <v>12.06</v>
      </c>
      <c r="J578">
        <v>253.26</v>
      </c>
      <c r="K578" s="1">
        <v>43516</v>
      </c>
      <c r="L578" s="2">
        <v>0.77986111111111112</v>
      </c>
      <c r="M578" t="s">
        <v>29</v>
      </c>
      <c r="N578">
        <v>241.2</v>
      </c>
      <c r="O578">
        <v>4.7619047620000003</v>
      </c>
      <c r="P578">
        <v>12.06</v>
      </c>
      <c r="Q578">
        <v>5.8</v>
      </c>
    </row>
    <row r="579" spans="1:17" x14ac:dyDescent="0.3">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row>
    <row r="584" spans="1:17" x14ac:dyDescent="0.3">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3">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3">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
      <c r="A587" t="s">
        <v>621</v>
      </c>
      <c r="B587" t="s">
        <v>18</v>
      </c>
      <c r="C587" t="s">
        <v>19</v>
      </c>
      <c r="D587" t="s">
        <v>27</v>
      </c>
      <c r="E587" t="s">
        <v>31</v>
      </c>
      <c r="F587" t="s">
        <v>22</v>
      </c>
      <c r="G587">
        <v>51.71</v>
      </c>
      <c r="H587">
        <v>4</v>
      </c>
      <c r="I587">
        <v>10.342000000000001</v>
      </c>
      <c r="J587">
        <v>217.18199999999999</v>
      </c>
      <c r="K587" s="1">
        <v>43533</v>
      </c>
      <c r="L587" s="2">
        <v>0.57847222222222228</v>
      </c>
      <c r="M587" t="s">
        <v>33</v>
      </c>
      <c r="N587">
        <v>206.84</v>
      </c>
      <c r="O587">
        <v>4.7619047620000003</v>
      </c>
      <c r="P587">
        <v>10.342000000000001</v>
      </c>
      <c r="Q587">
        <v>9.8000000000000007</v>
      </c>
    </row>
    <row r="588" spans="1:17" x14ac:dyDescent="0.3">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3">
      <c r="A591" t="s">
        <v>625</v>
      </c>
      <c r="B591" t="s">
        <v>18</v>
      </c>
      <c r="C591" t="s">
        <v>19</v>
      </c>
      <c r="D591" t="s">
        <v>27</v>
      </c>
      <c r="E591" t="s">
        <v>31</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row>
    <row r="592" spans="1:17" x14ac:dyDescent="0.3">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627</v>
      </c>
      <c r="B593" t="s">
        <v>25</v>
      </c>
      <c r="C593" t="s">
        <v>26</v>
      </c>
      <c r="D593" t="s">
        <v>20</v>
      </c>
      <c r="E593" t="s">
        <v>21</v>
      </c>
      <c r="F593" t="s">
        <v>32</v>
      </c>
      <c r="G593">
        <v>24.24</v>
      </c>
      <c r="H593">
        <v>7</v>
      </c>
      <c r="I593">
        <v>8.484</v>
      </c>
      <c r="J593">
        <v>178.16399999999999</v>
      </c>
      <c r="K593" s="1">
        <v>43492</v>
      </c>
      <c r="L593" s="2">
        <v>0.73472222222222228</v>
      </c>
      <c r="M593" t="s">
        <v>23</v>
      </c>
      <c r="N593">
        <v>169.68</v>
      </c>
      <c r="O593">
        <v>4.7619047620000003</v>
      </c>
      <c r="P593">
        <v>8.484</v>
      </c>
      <c r="Q593">
        <v>9.4</v>
      </c>
    </row>
    <row r="594" spans="1:17" x14ac:dyDescent="0.3">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
      <c r="A595" t="s">
        <v>629</v>
      </c>
      <c r="B595" t="s">
        <v>18</v>
      </c>
      <c r="C595" t="s">
        <v>19</v>
      </c>
      <c r="D595" t="s">
        <v>20</v>
      </c>
      <c r="E595" t="s">
        <v>21</v>
      </c>
      <c r="F595" t="s">
        <v>36</v>
      </c>
      <c r="G595">
        <v>75.2</v>
      </c>
      <c r="H595">
        <v>3</v>
      </c>
      <c r="I595">
        <v>11.28</v>
      </c>
      <c r="J595">
        <v>236.88</v>
      </c>
      <c r="K595" s="1">
        <v>43501</v>
      </c>
      <c r="L595" s="2">
        <v>0.49375000000000002</v>
      </c>
      <c r="M595" t="s">
        <v>23</v>
      </c>
      <c r="N595">
        <v>225.6</v>
      </c>
      <c r="O595">
        <v>4.7619047620000003</v>
      </c>
      <c r="P595">
        <v>11.28</v>
      </c>
      <c r="Q595">
        <v>4.8</v>
      </c>
    </row>
    <row r="596" spans="1:17" x14ac:dyDescent="0.3">
      <c r="A596" t="s">
        <v>630</v>
      </c>
      <c r="B596" t="s">
        <v>42</v>
      </c>
      <c r="C596" t="s">
        <v>43</v>
      </c>
      <c r="D596" t="s">
        <v>20</v>
      </c>
      <c r="E596" t="s">
        <v>31</v>
      </c>
      <c r="F596" t="s">
        <v>36</v>
      </c>
      <c r="G596">
        <v>96.8</v>
      </c>
      <c r="H596">
        <v>3</v>
      </c>
      <c r="I596">
        <v>14.52</v>
      </c>
      <c r="J596">
        <v>304.92</v>
      </c>
      <c r="K596" s="1">
        <v>43539</v>
      </c>
      <c r="L596" s="2">
        <v>0.54513888888888884</v>
      </c>
      <c r="M596" t="s">
        <v>29</v>
      </c>
      <c r="N596">
        <v>290.39999999999998</v>
      </c>
      <c r="O596">
        <v>4.7619047620000003</v>
      </c>
      <c r="P596">
        <v>14.52</v>
      </c>
      <c r="Q596">
        <v>5.3</v>
      </c>
    </row>
    <row r="597" spans="1:17" x14ac:dyDescent="0.3">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3">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3">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3">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3">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3">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3">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3">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3">
      <c r="A609" t="s">
        <v>643</v>
      </c>
      <c r="B609" t="s">
        <v>25</v>
      </c>
      <c r="C609" t="s">
        <v>26</v>
      </c>
      <c r="D609" t="s">
        <v>20</v>
      </c>
      <c r="E609" t="s">
        <v>21</v>
      </c>
      <c r="F609" t="s">
        <v>44</v>
      </c>
      <c r="G609">
        <v>49.79</v>
      </c>
      <c r="H609">
        <v>4</v>
      </c>
      <c r="I609">
        <v>9.9580000000000002</v>
      </c>
      <c r="J609">
        <v>209.11799999999999</v>
      </c>
      <c r="K609" s="1">
        <v>43552</v>
      </c>
      <c r="L609" s="2">
        <v>0.80277777777777781</v>
      </c>
      <c r="M609" t="s">
        <v>33</v>
      </c>
      <c r="N609">
        <v>199.16</v>
      </c>
      <c r="O609">
        <v>4.7619047620000003</v>
      </c>
      <c r="P609">
        <v>9.9580000000000002</v>
      </c>
      <c r="Q609">
        <v>6.4</v>
      </c>
    </row>
    <row r="610" spans="1:17" x14ac:dyDescent="0.3">
      <c r="A610" t="s">
        <v>644</v>
      </c>
      <c r="B610" t="s">
        <v>18</v>
      </c>
      <c r="C610" t="s">
        <v>19</v>
      </c>
      <c r="D610" t="s">
        <v>27</v>
      </c>
      <c r="E610" t="s">
        <v>31</v>
      </c>
      <c r="F610" t="s">
        <v>46</v>
      </c>
      <c r="G610">
        <v>30.61</v>
      </c>
      <c r="H610">
        <v>1</v>
      </c>
      <c r="I610">
        <v>1.5305</v>
      </c>
      <c r="J610">
        <v>32.140500000000003</v>
      </c>
      <c r="K610" s="1">
        <v>43488</v>
      </c>
      <c r="L610" s="2">
        <v>0.51388888888888884</v>
      </c>
      <c r="M610" t="s">
        <v>23</v>
      </c>
      <c r="N610">
        <v>30.61</v>
      </c>
      <c r="O610">
        <v>4.7619047620000003</v>
      </c>
      <c r="P610">
        <v>1.5305</v>
      </c>
      <c r="Q610">
        <v>5.2</v>
      </c>
    </row>
    <row r="611" spans="1:17" x14ac:dyDescent="0.3">
      <c r="A611" t="s">
        <v>645</v>
      </c>
      <c r="B611" t="s">
        <v>42</v>
      </c>
      <c r="C611" t="s">
        <v>43</v>
      </c>
      <c r="D611" t="s">
        <v>20</v>
      </c>
      <c r="E611" t="s">
        <v>31</v>
      </c>
      <c r="F611" t="s">
        <v>44</v>
      </c>
      <c r="G611">
        <v>57.89</v>
      </c>
      <c r="H611">
        <v>2</v>
      </c>
      <c r="I611">
        <v>5.7889999999999997</v>
      </c>
      <c r="J611">
        <v>121.569</v>
      </c>
      <c r="K611" s="1">
        <v>43482</v>
      </c>
      <c r="L611" s="2">
        <v>0.44236111111111109</v>
      </c>
      <c r="M611" t="s">
        <v>23</v>
      </c>
      <c r="N611">
        <v>115.78</v>
      </c>
      <c r="O611">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1">
        <v>43503</v>
      </c>
      <c r="L612" s="2">
        <v>0.42916666666666664</v>
      </c>
      <c r="M612" t="s">
        <v>33</v>
      </c>
      <c r="N612">
        <v>28.96</v>
      </c>
      <c r="O612">
        <v>4.7619047620000003</v>
      </c>
      <c r="P612">
        <v>1.448</v>
      </c>
      <c r="Q612">
        <v>6.2</v>
      </c>
    </row>
    <row r="613" spans="1:17" x14ac:dyDescent="0.3">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
      <c r="A615" t="s">
        <v>649</v>
      </c>
      <c r="B615" t="s">
        <v>25</v>
      </c>
      <c r="C615" t="s">
        <v>26</v>
      </c>
      <c r="D615" t="s">
        <v>20</v>
      </c>
      <c r="E615" t="s">
        <v>31</v>
      </c>
      <c r="F615" t="s">
        <v>36</v>
      </c>
      <c r="G615">
        <v>80.930000000000007</v>
      </c>
      <c r="H615">
        <v>1</v>
      </c>
      <c r="I615">
        <v>4.0465</v>
      </c>
      <c r="J615">
        <v>84.976500000000001</v>
      </c>
      <c r="K615" s="1">
        <v>43484</v>
      </c>
      <c r="L615" s="2">
        <v>0.67222222222222228</v>
      </c>
      <c r="M615" t="s">
        <v>33</v>
      </c>
      <c r="N615">
        <v>80.930000000000007</v>
      </c>
      <c r="O615">
        <v>4.7619047620000003</v>
      </c>
      <c r="P615">
        <v>4.0465</v>
      </c>
      <c r="Q615">
        <v>9</v>
      </c>
    </row>
    <row r="616" spans="1:17" x14ac:dyDescent="0.3">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
      <c r="A618" t="s">
        <v>652</v>
      </c>
      <c r="B618" t="s">
        <v>42</v>
      </c>
      <c r="C618" t="s">
        <v>43</v>
      </c>
      <c r="D618" t="s">
        <v>20</v>
      </c>
      <c r="E618" t="s">
        <v>31</v>
      </c>
      <c r="F618" t="s">
        <v>36</v>
      </c>
      <c r="G618">
        <v>72.599999999999994</v>
      </c>
      <c r="H618">
        <v>6</v>
      </c>
      <c r="I618">
        <v>21.78</v>
      </c>
      <c r="J618">
        <v>457.38</v>
      </c>
      <c r="K618" s="1">
        <v>43478</v>
      </c>
      <c r="L618" s="2">
        <v>0.82708333333333328</v>
      </c>
      <c r="M618" t="s">
        <v>29</v>
      </c>
      <c r="N618">
        <v>435.6</v>
      </c>
      <c r="O618">
        <v>4.7619047620000003</v>
      </c>
      <c r="P618">
        <v>21.78</v>
      </c>
      <c r="Q618">
        <v>6.9</v>
      </c>
    </row>
    <row r="619" spans="1:17" x14ac:dyDescent="0.3">
      <c r="A619" t="s">
        <v>653</v>
      </c>
      <c r="B619" t="s">
        <v>25</v>
      </c>
      <c r="C619" t="s">
        <v>26</v>
      </c>
      <c r="D619" t="s">
        <v>20</v>
      </c>
      <c r="E619" t="s">
        <v>31</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row>
    <row r="620" spans="1:17" x14ac:dyDescent="0.3">
      <c r="A620" t="s">
        <v>654</v>
      </c>
      <c r="B620" t="s">
        <v>18</v>
      </c>
      <c r="C620" t="s">
        <v>19</v>
      </c>
      <c r="D620" t="s">
        <v>20</v>
      </c>
      <c r="E620" t="s">
        <v>31</v>
      </c>
      <c r="F620" t="s">
        <v>44</v>
      </c>
      <c r="G620">
        <v>98.53</v>
      </c>
      <c r="H620">
        <v>6</v>
      </c>
      <c r="I620">
        <v>29.559000000000001</v>
      </c>
      <c r="J620">
        <v>620.73900000000003</v>
      </c>
      <c r="K620" s="1">
        <v>43488</v>
      </c>
      <c r="L620" s="2">
        <v>0.47361111111111109</v>
      </c>
      <c r="M620" t="s">
        <v>33</v>
      </c>
      <c r="N620">
        <v>591.17999999999995</v>
      </c>
      <c r="O620">
        <v>4.7619047620000003</v>
      </c>
      <c r="P620">
        <v>29.559000000000001</v>
      </c>
      <c r="Q620">
        <v>4</v>
      </c>
    </row>
    <row r="621" spans="1:17" x14ac:dyDescent="0.3">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3">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3">
      <c r="A623" t="s">
        <v>657</v>
      </c>
      <c r="B623" t="s">
        <v>18</v>
      </c>
      <c r="C623" t="s">
        <v>19</v>
      </c>
      <c r="D623" t="s">
        <v>20</v>
      </c>
      <c r="E623" t="s">
        <v>21</v>
      </c>
      <c r="F623" t="s">
        <v>44</v>
      </c>
      <c r="G623">
        <v>91.61</v>
      </c>
      <c r="H623">
        <v>1</v>
      </c>
      <c r="I623">
        <v>4.5804999999999998</v>
      </c>
      <c r="J623">
        <v>96.1905</v>
      </c>
      <c r="K623" s="1">
        <v>43544</v>
      </c>
      <c r="L623" s="2">
        <v>0.82222222222222219</v>
      </c>
      <c r="M623" t="s">
        <v>29</v>
      </c>
      <c r="N623">
        <v>91.61</v>
      </c>
      <c r="O623">
        <v>4.7619047620000003</v>
      </c>
      <c r="P623">
        <v>4.5804999999999998</v>
      </c>
      <c r="Q623">
        <v>9.8000000000000007</v>
      </c>
    </row>
    <row r="624" spans="1:17" x14ac:dyDescent="0.3">
      <c r="A624" t="s">
        <v>658</v>
      </c>
      <c r="B624" t="s">
        <v>42</v>
      </c>
      <c r="C624" t="s">
        <v>43</v>
      </c>
      <c r="D624" t="s">
        <v>20</v>
      </c>
      <c r="E624" t="s">
        <v>21</v>
      </c>
      <c r="F624" t="s">
        <v>32</v>
      </c>
      <c r="G624">
        <v>94.59</v>
      </c>
      <c r="H624">
        <v>7</v>
      </c>
      <c r="I624">
        <v>33.106499999999997</v>
      </c>
      <c r="J624">
        <v>695.23649999999998</v>
      </c>
      <c r="K624" s="1">
        <v>43482</v>
      </c>
      <c r="L624" s="2">
        <v>0.64375000000000004</v>
      </c>
      <c r="M624" t="s">
        <v>33</v>
      </c>
      <c r="N624">
        <v>662.13</v>
      </c>
      <c r="O624">
        <v>4.7619047620000003</v>
      </c>
      <c r="P624">
        <v>33.106499999999997</v>
      </c>
      <c r="Q624">
        <v>4.9000000000000004</v>
      </c>
    </row>
    <row r="625" spans="1:17" x14ac:dyDescent="0.3">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3">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3">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3">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3">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3">
      <c r="A635" t="s">
        <v>669</v>
      </c>
      <c r="B635" t="s">
        <v>42</v>
      </c>
      <c r="C635" t="s">
        <v>43</v>
      </c>
      <c r="D635" t="s">
        <v>27</v>
      </c>
      <c r="E635" t="s">
        <v>31</v>
      </c>
      <c r="F635" t="s">
        <v>32</v>
      </c>
      <c r="G635">
        <v>99.7</v>
      </c>
      <c r="H635">
        <v>3</v>
      </c>
      <c r="I635">
        <v>14.955</v>
      </c>
      <c r="J635">
        <v>314.05500000000001</v>
      </c>
      <c r="K635" s="1">
        <v>43542</v>
      </c>
      <c r="L635" s="2">
        <v>0.47847222222222224</v>
      </c>
      <c r="M635" t="s">
        <v>23</v>
      </c>
      <c r="N635">
        <v>299.10000000000002</v>
      </c>
      <c r="O635">
        <v>4.7619047620000003</v>
      </c>
      <c r="P635">
        <v>14.955</v>
      </c>
      <c r="Q635">
        <v>4.7</v>
      </c>
    </row>
    <row r="636" spans="1:17" x14ac:dyDescent="0.3">
      <c r="A636" t="s">
        <v>670</v>
      </c>
      <c r="B636" t="s">
        <v>42</v>
      </c>
      <c r="C636" t="s">
        <v>43</v>
      </c>
      <c r="D636" t="s">
        <v>20</v>
      </c>
      <c r="E636" t="s">
        <v>31</v>
      </c>
      <c r="F636" t="s">
        <v>44</v>
      </c>
      <c r="G636">
        <v>79.91</v>
      </c>
      <c r="H636">
        <v>3</v>
      </c>
      <c r="I636">
        <v>11.986499999999999</v>
      </c>
      <c r="J636">
        <v>251.7165</v>
      </c>
      <c r="K636" s="1">
        <v>43544</v>
      </c>
      <c r="L636" s="2">
        <v>0.81111111111111112</v>
      </c>
      <c r="M636" t="s">
        <v>33</v>
      </c>
      <c r="N636">
        <v>239.73</v>
      </c>
      <c r="O636">
        <v>4.7619047620000003</v>
      </c>
      <c r="P636">
        <v>11.986499999999999</v>
      </c>
      <c r="Q636">
        <v>5</v>
      </c>
    </row>
    <row r="637" spans="1:17" x14ac:dyDescent="0.3">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3">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row>
    <row r="640" spans="1:17" x14ac:dyDescent="0.3">
      <c r="A640" t="s">
        <v>674</v>
      </c>
      <c r="B640" t="s">
        <v>42</v>
      </c>
      <c r="C640" t="s">
        <v>43</v>
      </c>
      <c r="D640" t="s">
        <v>20</v>
      </c>
      <c r="E640" t="s">
        <v>21</v>
      </c>
      <c r="F640" t="s">
        <v>44</v>
      </c>
      <c r="G640">
        <v>17.63</v>
      </c>
      <c r="H640">
        <v>5</v>
      </c>
      <c r="I640">
        <v>4.4074999999999998</v>
      </c>
      <c r="J640">
        <v>92.557500000000005</v>
      </c>
      <c r="K640" s="1">
        <v>43532</v>
      </c>
      <c r="L640" s="2">
        <v>0.64375000000000004</v>
      </c>
      <c r="M640" t="s">
        <v>29</v>
      </c>
      <c r="N640">
        <v>88.15</v>
      </c>
      <c r="O640">
        <v>4.7619047620000003</v>
      </c>
      <c r="P640">
        <v>4.4074999999999998</v>
      </c>
      <c r="Q640">
        <v>8.5</v>
      </c>
    </row>
    <row r="641" spans="1:17" x14ac:dyDescent="0.3">
      <c r="A641" t="s">
        <v>675</v>
      </c>
      <c r="B641" t="s">
        <v>42</v>
      </c>
      <c r="C641" t="s">
        <v>43</v>
      </c>
      <c r="D641" t="s">
        <v>27</v>
      </c>
      <c r="E641" t="s">
        <v>31</v>
      </c>
      <c r="F641" t="s">
        <v>46</v>
      </c>
      <c r="G641">
        <v>52.42</v>
      </c>
      <c r="H641">
        <v>3</v>
      </c>
      <c r="I641">
        <v>7.8630000000000004</v>
      </c>
      <c r="J641">
        <v>165.12299999999999</v>
      </c>
      <c r="K641" s="1">
        <v>43523</v>
      </c>
      <c r="L641" s="2">
        <v>0.73333333333333328</v>
      </c>
      <c r="M641" t="s">
        <v>23</v>
      </c>
      <c r="N641">
        <v>157.26</v>
      </c>
      <c r="O641">
        <v>4.7619047620000003</v>
      </c>
      <c r="P641">
        <v>7.8630000000000004</v>
      </c>
      <c r="Q641">
        <v>7.5</v>
      </c>
    </row>
    <row r="642" spans="1:17" x14ac:dyDescent="0.3">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3">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row>
    <row r="644" spans="1:17" x14ac:dyDescent="0.3">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3">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
      <c r="A647" t="s">
        <v>681</v>
      </c>
      <c r="B647" t="s">
        <v>18</v>
      </c>
      <c r="C647" t="s">
        <v>19</v>
      </c>
      <c r="D647" t="s">
        <v>20</v>
      </c>
      <c r="E647" t="s">
        <v>31</v>
      </c>
      <c r="F647" t="s">
        <v>32</v>
      </c>
      <c r="G647">
        <v>19.36</v>
      </c>
      <c r="H647">
        <v>9</v>
      </c>
      <c r="I647">
        <v>8.7119999999999997</v>
      </c>
      <c r="J647">
        <v>182.952</v>
      </c>
      <c r="K647" s="1">
        <v>43483</v>
      </c>
      <c r="L647" s="2">
        <v>0.77986111111111112</v>
      </c>
      <c r="M647" t="s">
        <v>23</v>
      </c>
      <c r="N647">
        <v>174.24</v>
      </c>
      <c r="O647">
        <v>4.7619047620000003</v>
      </c>
      <c r="P647">
        <v>8.7119999999999997</v>
      </c>
      <c r="Q647">
        <v>8.6999999999999993</v>
      </c>
    </row>
    <row r="648" spans="1:17" x14ac:dyDescent="0.3">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
      <c r="A651" t="s">
        <v>685</v>
      </c>
      <c r="B651" t="s">
        <v>25</v>
      </c>
      <c r="C651" t="s">
        <v>26</v>
      </c>
      <c r="D651" t="s">
        <v>27</v>
      </c>
      <c r="E651" t="s">
        <v>31</v>
      </c>
      <c r="F651" t="s">
        <v>28</v>
      </c>
      <c r="G651">
        <v>24.74</v>
      </c>
      <c r="H651">
        <v>10</v>
      </c>
      <c r="I651">
        <v>12.37</v>
      </c>
      <c r="J651">
        <v>259.77</v>
      </c>
      <c r="K651" s="1">
        <v>43520</v>
      </c>
      <c r="L651" s="2">
        <v>0.69722222222222219</v>
      </c>
      <c r="M651" t="s">
        <v>29</v>
      </c>
      <c r="N651">
        <v>247.4</v>
      </c>
      <c r="O651">
        <v>4.7619047620000003</v>
      </c>
      <c r="P651">
        <v>12.37</v>
      </c>
      <c r="Q651">
        <v>7.1</v>
      </c>
    </row>
    <row r="652" spans="1:17" x14ac:dyDescent="0.3">
      <c r="A652" t="s">
        <v>686</v>
      </c>
      <c r="B652" t="s">
        <v>42</v>
      </c>
      <c r="C652" t="s">
        <v>43</v>
      </c>
      <c r="D652" t="s">
        <v>27</v>
      </c>
      <c r="E652" t="s">
        <v>31</v>
      </c>
      <c r="F652" t="s">
        <v>28</v>
      </c>
      <c r="G652">
        <v>75.66</v>
      </c>
      <c r="H652">
        <v>5</v>
      </c>
      <c r="I652">
        <v>18.914999999999999</v>
      </c>
      <c r="J652">
        <v>397.21499999999997</v>
      </c>
      <c r="K652" s="1">
        <v>43480</v>
      </c>
      <c r="L652" s="2">
        <v>0.76527777777777772</v>
      </c>
      <c r="M652" t="s">
        <v>23</v>
      </c>
      <c r="N652">
        <v>378.3</v>
      </c>
      <c r="O652">
        <v>4.7619047620000003</v>
      </c>
      <c r="P652">
        <v>18.914999999999999</v>
      </c>
      <c r="Q652">
        <v>7.8</v>
      </c>
    </row>
    <row r="653" spans="1:17" x14ac:dyDescent="0.3">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3">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s="1">
        <v>43523</v>
      </c>
      <c r="L658" s="2">
        <v>0.43263888888888891</v>
      </c>
      <c r="M658" t="s">
        <v>33</v>
      </c>
      <c r="N658">
        <v>99.69</v>
      </c>
      <c r="O658">
        <v>4.7619047620000003</v>
      </c>
      <c r="P658">
        <v>4.9844999999999997</v>
      </c>
      <c r="Q658">
        <v>8</v>
      </c>
    </row>
    <row r="659" spans="1:17" x14ac:dyDescent="0.3">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3">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
      <c r="A661" t="s">
        <v>695</v>
      </c>
      <c r="B661" t="s">
        <v>18</v>
      </c>
      <c r="C661" t="s">
        <v>19</v>
      </c>
      <c r="D661" t="s">
        <v>20</v>
      </c>
      <c r="E661" t="s">
        <v>31</v>
      </c>
      <c r="F661" t="s">
        <v>46</v>
      </c>
      <c r="G661">
        <v>55.45</v>
      </c>
      <c r="H661">
        <v>1</v>
      </c>
      <c r="I661">
        <v>2.7725</v>
      </c>
      <c r="J661">
        <v>58.222499999999997</v>
      </c>
      <c r="K661" s="1">
        <v>43522</v>
      </c>
      <c r="L661" s="2">
        <v>0.74027777777777781</v>
      </c>
      <c r="M661" t="s">
        <v>33</v>
      </c>
      <c r="N661">
        <v>55.45</v>
      </c>
      <c r="O661">
        <v>4.7619047620000003</v>
      </c>
      <c r="P661">
        <v>2.7725</v>
      </c>
      <c r="Q661">
        <v>4.9000000000000004</v>
      </c>
    </row>
    <row r="662" spans="1:17" x14ac:dyDescent="0.3">
      <c r="A662" t="s">
        <v>696</v>
      </c>
      <c r="B662" t="s">
        <v>42</v>
      </c>
      <c r="C662" t="s">
        <v>43</v>
      </c>
      <c r="D662" t="s">
        <v>27</v>
      </c>
      <c r="E662" t="s">
        <v>21</v>
      </c>
      <c r="F662" t="s">
        <v>36</v>
      </c>
      <c r="G662">
        <v>42.97</v>
      </c>
      <c r="H662">
        <v>3</v>
      </c>
      <c r="I662">
        <v>6.4455</v>
      </c>
      <c r="J662">
        <v>135.35550000000001</v>
      </c>
      <c r="K662" s="1">
        <v>43499</v>
      </c>
      <c r="L662" s="2">
        <v>0.49027777777777776</v>
      </c>
      <c r="M662" t="s">
        <v>29</v>
      </c>
      <c r="N662">
        <v>128.91</v>
      </c>
      <c r="O662">
        <v>4.7619047620000003</v>
      </c>
      <c r="P662">
        <v>6.4455</v>
      </c>
      <c r="Q662">
        <v>9.3000000000000007</v>
      </c>
    </row>
    <row r="663" spans="1:17" x14ac:dyDescent="0.3">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3">
      <c r="A664" t="s">
        <v>698</v>
      </c>
      <c r="B664" t="s">
        <v>42</v>
      </c>
      <c r="C664" t="s">
        <v>43</v>
      </c>
      <c r="D664" t="s">
        <v>20</v>
      </c>
      <c r="E664" t="s">
        <v>21</v>
      </c>
      <c r="F664" t="s">
        <v>46</v>
      </c>
      <c r="G664">
        <v>58.75</v>
      </c>
      <c r="H664">
        <v>6</v>
      </c>
      <c r="I664">
        <v>17.625</v>
      </c>
      <c r="J664">
        <v>370.125</v>
      </c>
      <c r="K664" s="1">
        <v>43548</v>
      </c>
      <c r="L664" s="2">
        <v>0.75972222222222219</v>
      </c>
      <c r="M664" t="s">
        <v>33</v>
      </c>
      <c r="N664">
        <v>352.5</v>
      </c>
      <c r="O664">
        <v>4.7619047620000003</v>
      </c>
      <c r="P664">
        <v>17.625</v>
      </c>
      <c r="Q664">
        <v>5.9</v>
      </c>
    </row>
    <row r="665" spans="1:17" x14ac:dyDescent="0.3">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3">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
      <c r="A669" t="s">
        <v>703</v>
      </c>
      <c r="B669" t="s">
        <v>42</v>
      </c>
      <c r="C669" t="s">
        <v>43</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3">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3">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3">
      <c r="A674" t="s">
        <v>708</v>
      </c>
      <c r="B674" t="s">
        <v>42</v>
      </c>
      <c r="C674" t="s">
        <v>43</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row>
    <row r="675" spans="1:17" x14ac:dyDescent="0.3">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3">
      <c r="A677" t="s">
        <v>711</v>
      </c>
      <c r="B677" t="s">
        <v>42</v>
      </c>
      <c r="C677" t="s">
        <v>43</v>
      </c>
      <c r="D677" t="s">
        <v>20</v>
      </c>
      <c r="E677" t="s">
        <v>31</v>
      </c>
      <c r="F677" t="s">
        <v>46</v>
      </c>
      <c r="G677">
        <v>83.77</v>
      </c>
      <c r="H677">
        <v>2</v>
      </c>
      <c r="I677">
        <v>8.3770000000000007</v>
      </c>
      <c r="J677">
        <v>175.917</v>
      </c>
      <c r="K677" s="1">
        <v>43520</v>
      </c>
      <c r="L677" s="2">
        <v>0.83125000000000004</v>
      </c>
      <c r="M677" t="s">
        <v>29</v>
      </c>
      <c r="N677">
        <v>167.54</v>
      </c>
      <c r="O677">
        <v>4.7619047620000003</v>
      </c>
      <c r="P677">
        <v>8.3770000000000007</v>
      </c>
      <c r="Q677">
        <v>4.5999999999999996</v>
      </c>
    </row>
    <row r="678" spans="1:17" x14ac:dyDescent="0.3">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3">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
      <c r="A681" t="s">
        <v>715</v>
      </c>
      <c r="B681" t="s">
        <v>18</v>
      </c>
      <c r="C681" t="s">
        <v>19</v>
      </c>
      <c r="D681" t="s">
        <v>20</v>
      </c>
      <c r="E681" t="s">
        <v>31</v>
      </c>
      <c r="F681" t="s">
        <v>44</v>
      </c>
      <c r="G681">
        <v>48.5</v>
      </c>
      <c r="H681">
        <v>6</v>
      </c>
      <c r="I681">
        <v>14.55</v>
      </c>
      <c r="J681">
        <v>305.55</v>
      </c>
      <c r="K681" s="1">
        <v>43476</v>
      </c>
      <c r="L681" s="2">
        <v>0.58125000000000004</v>
      </c>
      <c r="M681" t="s">
        <v>23</v>
      </c>
      <c r="N681">
        <v>291</v>
      </c>
      <c r="O681">
        <v>4.7619047620000003</v>
      </c>
      <c r="P681">
        <v>14.55</v>
      </c>
      <c r="Q681">
        <v>9.4</v>
      </c>
    </row>
    <row r="682" spans="1:17" x14ac:dyDescent="0.3">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3">
      <c r="A684" t="s">
        <v>718</v>
      </c>
      <c r="B684" t="s">
        <v>25</v>
      </c>
      <c r="C684" t="s">
        <v>26</v>
      </c>
      <c r="D684" t="s">
        <v>27</v>
      </c>
      <c r="E684" t="s">
        <v>21</v>
      </c>
      <c r="F684" t="s">
        <v>46</v>
      </c>
      <c r="G684">
        <v>49.32</v>
      </c>
      <c r="H684">
        <v>6</v>
      </c>
      <c r="I684">
        <v>14.795999999999999</v>
      </c>
      <c r="J684">
        <v>310.71600000000001</v>
      </c>
      <c r="K684" s="1">
        <v>43474</v>
      </c>
      <c r="L684" s="2">
        <v>0.57361111111111107</v>
      </c>
      <c r="M684" t="s">
        <v>23</v>
      </c>
      <c r="N684">
        <v>295.92</v>
      </c>
      <c r="O684">
        <v>4.7619047620000003</v>
      </c>
      <c r="P684">
        <v>14.795999999999999</v>
      </c>
      <c r="Q684">
        <v>7.1</v>
      </c>
    </row>
    <row r="685" spans="1:17" x14ac:dyDescent="0.3">
      <c r="A685" t="s">
        <v>719</v>
      </c>
      <c r="B685" t="s">
        <v>18</v>
      </c>
      <c r="C685" t="s">
        <v>19</v>
      </c>
      <c r="D685" t="s">
        <v>20</v>
      </c>
      <c r="E685" t="s">
        <v>31</v>
      </c>
      <c r="F685" t="s">
        <v>46</v>
      </c>
      <c r="G685">
        <v>21.48</v>
      </c>
      <c r="H685">
        <v>2</v>
      </c>
      <c r="I685">
        <v>2.1480000000000001</v>
      </c>
      <c r="J685">
        <v>45.107999999999997</v>
      </c>
      <c r="K685" s="1">
        <v>43523</v>
      </c>
      <c r="L685" s="2">
        <v>0.51527777777777772</v>
      </c>
      <c r="M685" t="s">
        <v>23</v>
      </c>
      <c r="N685">
        <v>42.96</v>
      </c>
      <c r="O685">
        <v>4.7619047620000003</v>
      </c>
      <c r="P685">
        <v>2.1480000000000001</v>
      </c>
      <c r="Q685">
        <v>6.6</v>
      </c>
    </row>
    <row r="686" spans="1:17" x14ac:dyDescent="0.3">
      <c r="A686" t="s">
        <v>720</v>
      </c>
      <c r="B686" t="s">
        <v>42</v>
      </c>
      <c r="C686" t="s">
        <v>43</v>
      </c>
      <c r="D686" t="s">
        <v>20</v>
      </c>
      <c r="E686" t="s">
        <v>21</v>
      </c>
      <c r="F686" t="s">
        <v>36</v>
      </c>
      <c r="G686">
        <v>23.08</v>
      </c>
      <c r="H686">
        <v>6</v>
      </c>
      <c r="I686">
        <v>6.9240000000000004</v>
      </c>
      <c r="J686">
        <v>145.404</v>
      </c>
      <c r="K686" s="1">
        <v>43489</v>
      </c>
      <c r="L686" s="2">
        <v>0.80555555555555558</v>
      </c>
      <c r="M686" t="s">
        <v>23</v>
      </c>
      <c r="N686">
        <v>138.47999999999999</v>
      </c>
      <c r="O686">
        <v>4.7619047620000003</v>
      </c>
      <c r="P686">
        <v>6.9240000000000004</v>
      </c>
      <c r="Q686">
        <v>4.9000000000000004</v>
      </c>
    </row>
    <row r="687" spans="1:17" x14ac:dyDescent="0.3">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3">
      <c r="A688" t="s">
        <v>722</v>
      </c>
      <c r="B688" t="s">
        <v>42</v>
      </c>
      <c r="C688" t="s">
        <v>43</v>
      </c>
      <c r="D688" t="s">
        <v>20</v>
      </c>
      <c r="E688" t="s">
        <v>21</v>
      </c>
      <c r="F688" t="s">
        <v>36</v>
      </c>
      <c r="G688">
        <v>64.83</v>
      </c>
      <c r="H688">
        <v>2</v>
      </c>
      <c r="I688">
        <v>6.4829999999999997</v>
      </c>
      <c r="J688">
        <v>136.143</v>
      </c>
      <c r="K688" s="1">
        <v>43473</v>
      </c>
      <c r="L688" s="2">
        <v>0.49930555555555556</v>
      </c>
      <c r="M688" t="s">
        <v>33</v>
      </c>
      <c r="N688">
        <v>129.66</v>
      </c>
      <c r="O688">
        <v>4.7619047620000003</v>
      </c>
      <c r="P688">
        <v>6.4829999999999997</v>
      </c>
      <c r="Q688">
        <v>8</v>
      </c>
    </row>
    <row r="689" spans="1:17" x14ac:dyDescent="0.3">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3">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3">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3">
      <c r="A696" t="s">
        <v>730</v>
      </c>
      <c r="B696" t="s">
        <v>25</v>
      </c>
      <c r="C696" t="s">
        <v>26</v>
      </c>
      <c r="D696" t="s">
        <v>27</v>
      </c>
      <c r="E696" t="s">
        <v>21</v>
      </c>
      <c r="F696" t="s">
        <v>44</v>
      </c>
      <c r="G696">
        <v>52.6</v>
      </c>
      <c r="H696">
        <v>9</v>
      </c>
      <c r="I696">
        <v>23.67</v>
      </c>
      <c r="J696">
        <v>497.07</v>
      </c>
      <c r="K696" s="1">
        <v>43481</v>
      </c>
      <c r="L696" s="2">
        <v>0.61250000000000004</v>
      </c>
      <c r="M696" t="s">
        <v>29</v>
      </c>
      <c r="N696">
        <v>473.4</v>
      </c>
      <c r="O696">
        <v>4.7619047620000003</v>
      </c>
      <c r="P696">
        <v>23.67</v>
      </c>
      <c r="Q696">
        <v>7.6</v>
      </c>
    </row>
    <row r="697" spans="1:17" x14ac:dyDescent="0.3">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3">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3">
      <c r="A702" t="s">
        <v>736</v>
      </c>
      <c r="B702" t="s">
        <v>25</v>
      </c>
      <c r="C702" t="s">
        <v>26</v>
      </c>
      <c r="D702" t="s">
        <v>27</v>
      </c>
      <c r="E702" t="s">
        <v>21</v>
      </c>
      <c r="F702" t="s">
        <v>46</v>
      </c>
      <c r="G702">
        <v>60.41</v>
      </c>
      <c r="H702">
        <v>8</v>
      </c>
      <c r="I702">
        <v>24.164000000000001</v>
      </c>
      <c r="J702">
        <v>507.44400000000002</v>
      </c>
      <c r="K702" s="1">
        <v>43503</v>
      </c>
      <c r="L702" s="2">
        <v>0.51597222222222228</v>
      </c>
      <c r="M702" t="s">
        <v>23</v>
      </c>
      <c r="N702">
        <v>483.28</v>
      </c>
      <c r="O702">
        <v>4.7619047620000003</v>
      </c>
      <c r="P702">
        <v>24.164000000000001</v>
      </c>
      <c r="Q702">
        <v>9.6</v>
      </c>
    </row>
    <row r="703" spans="1:17" x14ac:dyDescent="0.3">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3">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3">
      <c r="A705" t="s">
        <v>739</v>
      </c>
      <c r="B705" t="s">
        <v>42</v>
      </c>
      <c r="C705" t="s">
        <v>43</v>
      </c>
      <c r="D705" t="s">
        <v>20</v>
      </c>
      <c r="E705" t="s">
        <v>31</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row>
    <row r="706" spans="1:17" x14ac:dyDescent="0.3">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
      <c r="A709" t="s">
        <v>743</v>
      </c>
      <c r="B709" t="s">
        <v>25</v>
      </c>
      <c r="C709" t="s">
        <v>26</v>
      </c>
      <c r="D709" t="s">
        <v>20</v>
      </c>
      <c r="E709" t="s">
        <v>31</v>
      </c>
      <c r="F709" t="s">
        <v>44</v>
      </c>
      <c r="G709">
        <v>68.98</v>
      </c>
      <c r="H709">
        <v>1</v>
      </c>
      <c r="I709">
        <v>3.4489999999999998</v>
      </c>
      <c r="J709">
        <v>72.429000000000002</v>
      </c>
      <c r="K709" s="1">
        <v>43486</v>
      </c>
      <c r="L709" s="2">
        <v>0.84236111111111112</v>
      </c>
      <c r="M709" t="s">
        <v>29</v>
      </c>
      <c r="N709">
        <v>68.98</v>
      </c>
      <c r="O709">
        <v>4.7619047620000003</v>
      </c>
      <c r="P709">
        <v>3.4489999999999998</v>
      </c>
      <c r="Q709">
        <v>4.8</v>
      </c>
    </row>
    <row r="710" spans="1:17" x14ac:dyDescent="0.3">
      <c r="A710" t="s">
        <v>744</v>
      </c>
      <c r="B710" t="s">
        <v>25</v>
      </c>
      <c r="C710" t="s">
        <v>26</v>
      </c>
      <c r="D710" t="s">
        <v>27</v>
      </c>
      <c r="E710" t="s">
        <v>31</v>
      </c>
      <c r="F710" t="s">
        <v>46</v>
      </c>
      <c r="G710">
        <v>15.62</v>
      </c>
      <c r="H710">
        <v>8</v>
      </c>
      <c r="I710">
        <v>6.2480000000000002</v>
      </c>
      <c r="J710">
        <v>131.208</v>
      </c>
      <c r="K710" s="1">
        <v>43485</v>
      </c>
      <c r="L710" s="2">
        <v>0.85902777777777772</v>
      </c>
      <c r="M710" t="s">
        <v>23</v>
      </c>
      <c r="N710">
        <v>124.96</v>
      </c>
      <c r="O710">
        <v>4.7619047620000003</v>
      </c>
      <c r="P710">
        <v>6.2480000000000002</v>
      </c>
      <c r="Q710">
        <v>9.1</v>
      </c>
    </row>
    <row r="711" spans="1:17" x14ac:dyDescent="0.3">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3">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3">
      <c r="A718" t="s">
        <v>752</v>
      </c>
      <c r="B718" t="s">
        <v>18</v>
      </c>
      <c r="C718" t="s">
        <v>19</v>
      </c>
      <c r="D718" t="s">
        <v>20</v>
      </c>
      <c r="E718" t="s">
        <v>21</v>
      </c>
      <c r="F718" t="s">
        <v>46</v>
      </c>
      <c r="G718">
        <v>71.459999999999994</v>
      </c>
      <c r="H718">
        <v>7</v>
      </c>
      <c r="I718">
        <v>25.010999999999999</v>
      </c>
      <c r="J718">
        <v>525.23099999999999</v>
      </c>
      <c r="K718" s="1">
        <v>43552</v>
      </c>
      <c r="L718" s="2">
        <v>0.67083333333333328</v>
      </c>
      <c r="M718" t="s">
        <v>23</v>
      </c>
      <c r="N718">
        <v>500.22</v>
      </c>
      <c r="O718">
        <v>4.7619047620000003</v>
      </c>
      <c r="P718">
        <v>25.010999999999999</v>
      </c>
      <c r="Q718">
        <v>4.5</v>
      </c>
    </row>
    <row r="719" spans="1:17" x14ac:dyDescent="0.3">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3">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3">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3">
      <c r="A722" t="s">
        <v>756</v>
      </c>
      <c r="B722" t="s">
        <v>42</v>
      </c>
      <c r="C722" t="s">
        <v>43</v>
      </c>
      <c r="D722" t="s">
        <v>27</v>
      </c>
      <c r="E722" t="s">
        <v>21</v>
      </c>
      <c r="F722" t="s">
        <v>46</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3">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3">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3">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3">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3">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3">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3">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3">
      <c r="A740" t="s">
        <v>774</v>
      </c>
      <c r="B740" t="s">
        <v>42</v>
      </c>
      <c r="C740" t="s">
        <v>43</v>
      </c>
      <c r="D740" t="s">
        <v>20</v>
      </c>
      <c r="E740" t="s">
        <v>31</v>
      </c>
      <c r="F740" t="s">
        <v>28</v>
      </c>
      <c r="G740">
        <v>91.56</v>
      </c>
      <c r="H740">
        <v>8</v>
      </c>
      <c r="I740">
        <v>36.624000000000002</v>
      </c>
      <c r="J740">
        <v>769.10400000000004</v>
      </c>
      <c r="K740" s="1">
        <v>43477</v>
      </c>
      <c r="L740" s="2">
        <v>0.76527777777777772</v>
      </c>
      <c r="M740" t="s">
        <v>23</v>
      </c>
      <c r="N740">
        <v>732.48</v>
      </c>
      <c r="O740">
        <v>4.7619047620000003</v>
      </c>
      <c r="P740">
        <v>36.624000000000002</v>
      </c>
      <c r="Q740">
        <v>6</v>
      </c>
    </row>
    <row r="741" spans="1:17" x14ac:dyDescent="0.3">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3">
      <c r="A743" t="s">
        <v>777</v>
      </c>
      <c r="B743" t="s">
        <v>25</v>
      </c>
      <c r="C743" t="s">
        <v>26</v>
      </c>
      <c r="D743" t="s">
        <v>27</v>
      </c>
      <c r="E743" t="s">
        <v>31</v>
      </c>
      <c r="F743" t="s">
        <v>44</v>
      </c>
      <c r="G743">
        <v>84.83</v>
      </c>
      <c r="H743">
        <v>1</v>
      </c>
      <c r="I743">
        <v>4.2415000000000003</v>
      </c>
      <c r="J743">
        <v>89.0715</v>
      </c>
      <c r="K743" s="1">
        <v>43479</v>
      </c>
      <c r="L743" s="2">
        <v>0.63888888888888884</v>
      </c>
      <c r="M743" t="s">
        <v>23</v>
      </c>
      <c r="N743">
        <v>84.83</v>
      </c>
      <c r="O743">
        <v>4.7619047620000003</v>
      </c>
      <c r="P743">
        <v>4.2415000000000003</v>
      </c>
      <c r="Q743">
        <v>8.8000000000000007</v>
      </c>
    </row>
    <row r="744" spans="1:17" x14ac:dyDescent="0.3">
      <c r="A744" t="s">
        <v>778</v>
      </c>
      <c r="B744" t="s">
        <v>18</v>
      </c>
      <c r="C744" t="s">
        <v>19</v>
      </c>
      <c r="D744" t="s">
        <v>20</v>
      </c>
      <c r="E744" t="s">
        <v>21</v>
      </c>
      <c r="F744" t="s">
        <v>36</v>
      </c>
      <c r="G744">
        <v>71.63</v>
      </c>
      <c r="H744">
        <v>2</v>
      </c>
      <c r="I744">
        <v>7.1630000000000003</v>
      </c>
      <c r="J744">
        <v>150.423</v>
      </c>
      <c r="K744" s="1">
        <v>43508</v>
      </c>
      <c r="L744" s="2">
        <v>0.60624999999999996</v>
      </c>
      <c r="M744" t="s">
        <v>23</v>
      </c>
      <c r="N744">
        <v>143.26</v>
      </c>
      <c r="O744">
        <v>4.7619047620000003</v>
      </c>
      <c r="P744">
        <v>7.1630000000000003</v>
      </c>
      <c r="Q744">
        <v>8.8000000000000007</v>
      </c>
    </row>
    <row r="745" spans="1:17" x14ac:dyDescent="0.3">
      <c r="A745" t="s">
        <v>779</v>
      </c>
      <c r="B745" t="s">
        <v>18</v>
      </c>
      <c r="C745" t="s">
        <v>19</v>
      </c>
      <c r="D745" t="s">
        <v>20</v>
      </c>
      <c r="E745" t="s">
        <v>31</v>
      </c>
      <c r="F745" t="s">
        <v>32</v>
      </c>
      <c r="G745">
        <v>37.69</v>
      </c>
      <c r="H745">
        <v>2</v>
      </c>
      <c r="I745">
        <v>3.7690000000000001</v>
      </c>
      <c r="J745">
        <v>79.149000000000001</v>
      </c>
      <c r="K745" s="1">
        <v>43516</v>
      </c>
      <c r="L745" s="2">
        <v>0.64513888888888893</v>
      </c>
      <c r="M745" t="s">
        <v>23</v>
      </c>
      <c r="N745">
        <v>75.38</v>
      </c>
      <c r="O745">
        <v>4.7619047620000003</v>
      </c>
      <c r="P745">
        <v>3.7690000000000001</v>
      </c>
      <c r="Q745">
        <v>9.5</v>
      </c>
    </row>
    <row r="746" spans="1:17" x14ac:dyDescent="0.3">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3">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782</v>
      </c>
      <c r="B748" t="s">
        <v>42</v>
      </c>
      <c r="C748" t="s">
        <v>43</v>
      </c>
      <c r="D748" t="s">
        <v>20</v>
      </c>
      <c r="E748" t="s">
        <v>31</v>
      </c>
      <c r="F748" t="s">
        <v>46</v>
      </c>
      <c r="G748">
        <v>65.23</v>
      </c>
      <c r="H748">
        <v>10</v>
      </c>
      <c r="I748">
        <v>32.615000000000002</v>
      </c>
      <c r="J748">
        <v>684.91499999999996</v>
      </c>
      <c r="K748" s="1">
        <v>43473</v>
      </c>
      <c r="L748" s="2">
        <v>0.79652777777777772</v>
      </c>
      <c r="M748" t="s">
        <v>33</v>
      </c>
      <c r="N748">
        <v>652.29999999999995</v>
      </c>
      <c r="O748">
        <v>4.7619047620000003</v>
      </c>
      <c r="P748">
        <v>32.615000000000002</v>
      </c>
      <c r="Q748">
        <v>5.2</v>
      </c>
    </row>
    <row r="749" spans="1:17" x14ac:dyDescent="0.3">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3">
      <c r="A750" t="s">
        <v>784</v>
      </c>
      <c r="B750" t="s">
        <v>42</v>
      </c>
      <c r="C750" t="s">
        <v>43</v>
      </c>
      <c r="D750" t="s">
        <v>20</v>
      </c>
      <c r="E750" t="s">
        <v>21</v>
      </c>
      <c r="F750" t="s">
        <v>32</v>
      </c>
      <c r="G750">
        <v>12.29</v>
      </c>
      <c r="H750">
        <v>9</v>
      </c>
      <c r="I750">
        <v>5.5305</v>
      </c>
      <c r="J750">
        <v>116.1405</v>
      </c>
      <c r="K750" s="1">
        <v>43550</v>
      </c>
      <c r="L750" s="2">
        <v>0.81111111111111112</v>
      </c>
      <c r="M750" t="s">
        <v>33</v>
      </c>
      <c r="N750">
        <v>110.61</v>
      </c>
      <c r="O750">
        <v>4.7619047620000003</v>
      </c>
      <c r="P750">
        <v>5.5305</v>
      </c>
      <c r="Q750">
        <v>8</v>
      </c>
    </row>
    <row r="751" spans="1:17" x14ac:dyDescent="0.3">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
      <c r="A752" t="s">
        <v>786</v>
      </c>
      <c r="B752" t="s">
        <v>42</v>
      </c>
      <c r="C752" t="s">
        <v>43</v>
      </c>
      <c r="D752" t="s">
        <v>20</v>
      </c>
      <c r="E752" t="s">
        <v>21</v>
      </c>
      <c r="F752" t="s">
        <v>46</v>
      </c>
      <c r="G752">
        <v>22.32</v>
      </c>
      <c r="H752">
        <v>4</v>
      </c>
      <c r="I752">
        <v>4.4640000000000004</v>
      </c>
      <c r="J752">
        <v>93.744</v>
      </c>
      <c r="K752" s="1">
        <v>43538</v>
      </c>
      <c r="L752" s="2">
        <v>0.46944444444444444</v>
      </c>
      <c r="M752" t="s">
        <v>23</v>
      </c>
      <c r="N752">
        <v>89.28</v>
      </c>
      <c r="O752">
        <v>4.7619047620000003</v>
      </c>
      <c r="P752">
        <v>4.4640000000000004</v>
      </c>
      <c r="Q752">
        <v>4.0999999999999996</v>
      </c>
    </row>
    <row r="753" spans="1:17" x14ac:dyDescent="0.3">
      <c r="A753" t="s">
        <v>787</v>
      </c>
      <c r="B753" t="s">
        <v>18</v>
      </c>
      <c r="C753" t="s">
        <v>19</v>
      </c>
      <c r="D753" t="s">
        <v>27</v>
      </c>
      <c r="E753" t="s">
        <v>21</v>
      </c>
      <c r="F753" t="s">
        <v>44</v>
      </c>
      <c r="G753">
        <v>27.28</v>
      </c>
      <c r="H753">
        <v>5</v>
      </c>
      <c r="I753">
        <v>6.82</v>
      </c>
      <c r="J753">
        <v>143.22</v>
      </c>
      <c r="K753" s="1">
        <v>43499</v>
      </c>
      <c r="L753" s="2">
        <v>0.43819444444444444</v>
      </c>
      <c r="M753" t="s">
        <v>33</v>
      </c>
      <c r="N753">
        <v>136.4</v>
      </c>
      <c r="O75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3">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3">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3">
      <c r="A760" t="s">
        <v>794</v>
      </c>
      <c r="B760" t="s">
        <v>18</v>
      </c>
      <c r="C760" t="s">
        <v>19</v>
      </c>
      <c r="D760" t="s">
        <v>20</v>
      </c>
      <c r="E760" t="s">
        <v>31</v>
      </c>
      <c r="F760" t="s">
        <v>44</v>
      </c>
      <c r="G760">
        <v>18.850000000000001</v>
      </c>
      <c r="H760">
        <v>10</v>
      </c>
      <c r="I760">
        <v>9.4250000000000007</v>
      </c>
      <c r="J760">
        <v>197.92500000000001</v>
      </c>
      <c r="K760" s="1">
        <v>43523</v>
      </c>
      <c r="L760" s="2">
        <v>0.76666666666666672</v>
      </c>
      <c r="M760" t="s">
        <v>23</v>
      </c>
      <c r="N760">
        <v>188.5</v>
      </c>
      <c r="O760">
        <v>4.7619047620000003</v>
      </c>
      <c r="P760">
        <v>9.4250000000000007</v>
      </c>
      <c r="Q760">
        <v>5.6</v>
      </c>
    </row>
    <row r="761" spans="1:17" x14ac:dyDescent="0.3">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3">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3">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3">
      <c r="A767" t="s">
        <v>801</v>
      </c>
      <c r="B767" t="s">
        <v>42</v>
      </c>
      <c r="C767" t="s">
        <v>43</v>
      </c>
      <c r="D767" t="s">
        <v>27</v>
      </c>
      <c r="E767" t="s">
        <v>21</v>
      </c>
      <c r="F767" t="s">
        <v>32</v>
      </c>
      <c r="G767">
        <v>95.46</v>
      </c>
      <c r="H767">
        <v>8</v>
      </c>
      <c r="I767">
        <v>38.183999999999997</v>
      </c>
      <c r="J767">
        <v>801.86400000000003</v>
      </c>
      <c r="K767" s="1">
        <v>43529</v>
      </c>
      <c r="L767" s="2">
        <v>0.81944444444444442</v>
      </c>
      <c r="M767" t="s">
        <v>23</v>
      </c>
      <c r="N767">
        <v>763.68</v>
      </c>
      <c r="O767">
        <v>4.7619047620000003</v>
      </c>
      <c r="P767">
        <v>38.183999999999997</v>
      </c>
      <c r="Q767">
        <v>4.7</v>
      </c>
    </row>
    <row r="768" spans="1:17" x14ac:dyDescent="0.3">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3">
      <c r="A769" t="s">
        <v>803</v>
      </c>
      <c r="B769" t="s">
        <v>42</v>
      </c>
      <c r="C769" t="s">
        <v>43</v>
      </c>
      <c r="D769" t="s">
        <v>27</v>
      </c>
      <c r="E769" t="s">
        <v>31</v>
      </c>
      <c r="F769" t="s">
        <v>36</v>
      </c>
      <c r="G769">
        <v>13.69</v>
      </c>
      <c r="H769">
        <v>6</v>
      </c>
      <c r="I769">
        <v>4.1070000000000002</v>
      </c>
      <c r="J769">
        <v>86.247</v>
      </c>
      <c r="K769" s="1">
        <v>43509</v>
      </c>
      <c r="L769" s="2">
        <v>0.58263888888888893</v>
      </c>
      <c r="M769" t="s">
        <v>29</v>
      </c>
      <c r="N769">
        <v>82.14</v>
      </c>
      <c r="O769">
        <v>4.7619047620000003</v>
      </c>
      <c r="P769">
        <v>4.1070000000000002</v>
      </c>
      <c r="Q769">
        <v>6.3</v>
      </c>
    </row>
    <row r="770" spans="1:17" x14ac:dyDescent="0.3">
      <c r="A770" t="s">
        <v>804</v>
      </c>
      <c r="B770" t="s">
        <v>42</v>
      </c>
      <c r="C770" t="s">
        <v>43</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row>
    <row r="771" spans="1:17" x14ac:dyDescent="0.3">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3">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3">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3">
      <c r="A778" t="s">
        <v>812</v>
      </c>
      <c r="B778" t="s">
        <v>25</v>
      </c>
      <c r="C778" t="s">
        <v>26</v>
      </c>
      <c r="D778" t="s">
        <v>20</v>
      </c>
      <c r="E778" t="s">
        <v>31</v>
      </c>
      <c r="F778" t="s">
        <v>22</v>
      </c>
      <c r="G778">
        <v>65.31</v>
      </c>
      <c r="H778">
        <v>7</v>
      </c>
      <c r="I778">
        <v>22.858499999999999</v>
      </c>
      <c r="J778">
        <v>480.02850000000001</v>
      </c>
      <c r="K778" s="1">
        <v>43529</v>
      </c>
      <c r="L778" s="2">
        <v>0.75138888888888888</v>
      </c>
      <c r="M778" t="s">
        <v>33</v>
      </c>
      <c r="N778">
        <v>457.17</v>
      </c>
      <c r="O778">
        <v>4.7619047620000003</v>
      </c>
      <c r="P778">
        <v>22.858499999999999</v>
      </c>
      <c r="Q778">
        <v>4.2</v>
      </c>
    </row>
    <row r="779" spans="1:17" x14ac:dyDescent="0.3">
      <c r="A779" t="s">
        <v>813</v>
      </c>
      <c r="B779" t="s">
        <v>42</v>
      </c>
      <c r="C779" t="s">
        <v>43</v>
      </c>
      <c r="D779" t="s">
        <v>27</v>
      </c>
      <c r="E779" t="s">
        <v>31</v>
      </c>
      <c r="F779" t="s">
        <v>36</v>
      </c>
      <c r="G779">
        <v>93.38</v>
      </c>
      <c r="H779">
        <v>1</v>
      </c>
      <c r="I779">
        <v>4.6689999999999996</v>
      </c>
      <c r="J779">
        <v>98.049000000000007</v>
      </c>
      <c r="K779" s="1">
        <v>43468</v>
      </c>
      <c r="L779" s="2">
        <v>0.54652777777777772</v>
      </c>
      <c r="M779" t="s">
        <v>29</v>
      </c>
      <c r="N779">
        <v>93.38</v>
      </c>
      <c r="O779">
        <v>4.7619047620000003</v>
      </c>
      <c r="P779">
        <v>4.6689999999999996</v>
      </c>
      <c r="Q779">
        <v>9.6</v>
      </c>
    </row>
    <row r="780" spans="1:17" x14ac:dyDescent="0.3">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3">
      <c r="A781" t="s">
        <v>815</v>
      </c>
      <c r="B781" t="s">
        <v>42</v>
      </c>
      <c r="C781" t="s">
        <v>43</v>
      </c>
      <c r="D781" t="s">
        <v>20</v>
      </c>
      <c r="E781" t="s">
        <v>31</v>
      </c>
      <c r="F781" t="s">
        <v>28</v>
      </c>
      <c r="G781">
        <v>87.87</v>
      </c>
      <c r="H781">
        <v>9</v>
      </c>
      <c r="I781">
        <v>39.541499999999999</v>
      </c>
      <c r="J781">
        <v>830.37149999999997</v>
      </c>
      <c r="K781" s="1">
        <v>43496</v>
      </c>
      <c r="L781" s="2">
        <v>0.85555555555555551</v>
      </c>
      <c r="M781" t="s">
        <v>23</v>
      </c>
      <c r="N781">
        <v>790.83</v>
      </c>
      <c r="O781">
        <v>4.7619047620000003</v>
      </c>
      <c r="P781">
        <v>39.541499999999999</v>
      </c>
      <c r="Q781">
        <v>5.6</v>
      </c>
    </row>
    <row r="782" spans="1:17" x14ac:dyDescent="0.3">
      <c r="A782" t="s">
        <v>816</v>
      </c>
      <c r="B782" t="s">
        <v>25</v>
      </c>
      <c r="C782" t="s">
        <v>26</v>
      </c>
      <c r="D782" t="s">
        <v>27</v>
      </c>
      <c r="E782" t="s">
        <v>31</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row>
    <row r="783" spans="1:17" x14ac:dyDescent="0.3">
      <c r="A783" t="s">
        <v>817</v>
      </c>
      <c r="B783" t="s">
        <v>18</v>
      </c>
      <c r="C783" t="s">
        <v>19</v>
      </c>
      <c r="D783" t="s">
        <v>27</v>
      </c>
      <c r="E783" t="s">
        <v>21</v>
      </c>
      <c r="F783" t="s">
        <v>36</v>
      </c>
      <c r="G783">
        <v>94.76</v>
      </c>
      <c r="H783">
        <v>4</v>
      </c>
      <c r="I783">
        <v>18.952000000000002</v>
      </c>
      <c r="J783">
        <v>397.99200000000002</v>
      </c>
      <c r="K783" s="1">
        <v>43507</v>
      </c>
      <c r="L783" s="2">
        <v>0.67083333333333328</v>
      </c>
      <c r="M783" t="s">
        <v>23</v>
      </c>
      <c r="N783">
        <v>379.04</v>
      </c>
      <c r="O783">
        <v>4.7619047620000003</v>
      </c>
      <c r="P783">
        <v>18.952000000000002</v>
      </c>
      <c r="Q783">
        <v>7.8</v>
      </c>
    </row>
    <row r="784" spans="1:17" x14ac:dyDescent="0.3">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3">
      <c r="A785" t="s">
        <v>819</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row>
    <row r="787" spans="1:17" x14ac:dyDescent="0.3">
      <c r="A787" t="s">
        <v>821</v>
      </c>
      <c r="B787" t="s">
        <v>18</v>
      </c>
      <c r="C787" t="s">
        <v>19</v>
      </c>
      <c r="D787" t="s">
        <v>27</v>
      </c>
      <c r="E787" t="s">
        <v>31</v>
      </c>
      <c r="F787" t="s">
        <v>28</v>
      </c>
      <c r="G787">
        <v>74.58</v>
      </c>
      <c r="H787">
        <v>7</v>
      </c>
      <c r="I787">
        <v>26.103000000000002</v>
      </c>
      <c r="J787">
        <v>548.16300000000001</v>
      </c>
      <c r="K787" s="1">
        <v>43500</v>
      </c>
      <c r="L787" s="2">
        <v>0.67291666666666672</v>
      </c>
      <c r="M787" t="s">
        <v>33</v>
      </c>
      <c r="N787">
        <v>522.05999999999995</v>
      </c>
      <c r="O787">
        <v>4.7619047620000003</v>
      </c>
      <c r="P787">
        <v>26.103000000000002</v>
      </c>
      <c r="Q787">
        <v>9</v>
      </c>
    </row>
    <row r="788" spans="1:17" x14ac:dyDescent="0.3">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s="1">
        <v>43488</v>
      </c>
      <c r="L789" s="2">
        <v>0.42916666666666664</v>
      </c>
      <c r="M789" t="s">
        <v>33</v>
      </c>
      <c r="N789">
        <v>54.95</v>
      </c>
      <c r="O789">
        <v>4.7619047620000003</v>
      </c>
      <c r="P789">
        <v>2.7475000000000001</v>
      </c>
      <c r="Q789">
        <v>9.3000000000000007</v>
      </c>
    </row>
    <row r="790" spans="1:17" x14ac:dyDescent="0.3">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3">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827</v>
      </c>
      <c r="B793" t="s">
        <v>25</v>
      </c>
      <c r="C793" t="s">
        <v>26</v>
      </c>
      <c r="D793" t="s">
        <v>20</v>
      </c>
      <c r="E793" t="s">
        <v>31</v>
      </c>
      <c r="F793" t="s">
        <v>22</v>
      </c>
      <c r="G793">
        <v>68.55</v>
      </c>
      <c r="H793">
        <v>4</v>
      </c>
      <c r="I793">
        <v>13.71</v>
      </c>
      <c r="J793">
        <v>287.91000000000003</v>
      </c>
      <c r="K793" s="1">
        <v>43511</v>
      </c>
      <c r="L793" s="2">
        <v>0.84791666666666665</v>
      </c>
      <c r="M793" t="s">
        <v>33</v>
      </c>
      <c r="N793">
        <v>274.2</v>
      </c>
      <c r="O793">
        <v>4.7619047620000003</v>
      </c>
      <c r="P793">
        <v>13.71</v>
      </c>
      <c r="Q793">
        <v>9.1999999999999993</v>
      </c>
    </row>
    <row r="794" spans="1:17" x14ac:dyDescent="0.3">
      <c r="A794" t="s">
        <v>828</v>
      </c>
      <c r="B794" t="s">
        <v>42</v>
      </c>
      <c r="C794" t="s">
        <v>43</v>
      </c>
      <c r="D794" t="s">
        <v>27</v>
      </c>
      <c r="E794" t="s">
        <v>21</v>
      </c>
      <c r="F794" t="s">
        <v>32</v>
      </c>
      <c r="G794">
        <v>97.37</v>
      </c>
      <c r="H794">
        <v>10</v>
      </c>
      <c r="I794">
        <v>48.685000000000002</v>
      </c>
      <c r="J794">
        <v>1022.385</v>
      </c>
      <c r="K794" s="1">
        <v>43480</v>
      </c>
      <c r="L794" s="2">
        <v>0.57499999999999996</v>
      </c>
      <c r="M794" t="s">
        <v>33</v>
      </c>
      <c r="N794">
        <v>973.7</v>
      </c>
      <c r="O794">
        <v>4.7619047620000003</v>
      </c>
      <c r="P794">
        <v>48.685000000000002</v>
      </c>
      <c r="Q794">
        <v>4.9000000000000004</v>
      </c>
    </row>
    <row r="795" spans="1:17" x14ac:dyDescent="0.3">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3">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3">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3">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
      <c r="A805" t="s">
        <v>839</v>
      </c>
      <c r="B805" t="s">
        <v>18</v>
      </c>
      <c r="C805" t="s">
        <v>19</v>
      </c>
      <c r="D805" t="s">
        <v>20</v>
      </c>
      <c r="E805" t="s">
        <v>21</v>
      </c>
      <c r="F805" t="s">
        <v>46</v>
      </c>
      <c r="G805">
        <v>48.96</v>
      </c>
      <c r="H805">
        <v>9</v>
      </c>
      <c r="I805">
        <v>22.032</v>
      </c>
      <c r="J805">
        <v>462.67200000000003</v>
      </c>
      <c r="K805" s="1">
        <v>43528</v>
      </c>
      <c r="L805" s="2">
        <v>0.47708333333333336</v>
      </c>
      <c r="M805" t="s">
        <v>29</v>
      </c>
      <c r="N805">
        <v>440.64</v>
      </c>
      <c r="O805">
        <v>4.7619047620000003</v>
      </c>
      <c r="P805">
        <v>22.032</v>
      </c>
      <c r="Q805">
        <v>8</v>
      </c>
    </row>
    <row r="806" spans="1:17" x14ac:dyDescent="0.3">
      <c r="A806" t="s">
        <v>840</v>
      </c>
      <c r="B806" t="s">
        <v>42</v>
      </c>
      <c r="C806" t="s">
        <v>43</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row>
    <row r="807" spans="1:17" x14ac:dyDescent="0.3">
      <c r="A807" t="s">
        <v>841</v>
      </c>
      <c r="B807" t="s">
        <v>18</v>
      </c>
      <c r="C807" t="s">
        <v>19</v>
      </c>
      <c r="D807" t="s">
        <v>27</v>
      </c>
      <c r="E807" t="s">
        <v>21</v>
      </c>
      <c r="F807" t="s">
        <v>32</v>
      </c>
      <c r="G807">
        <v>77.47</v>
      </c>
      <c r="H807">
        <v>4</v>
      </c>
      <c r="I807">
        <v>15.494</v>
      </c>
      <c r="J807">
        <v>325.37400000000002</v>
      </c>
      <c r="K807" s="1">
        <v>43541</v>
      </c>
      <c r="L807" s="2">
        <v>0.69166666666666665</v>
      </c>
      <c r="M807" t="s">
        <v>29</v>
      </c>
      <c r="N807">
        <v>309.88</v>
      </c>
      <c r="O807">
        <v>4.7619047620000003</v>
      </c>
      <c r="P807">
        <v>15.494</v>
      </c>
      <c r="Q807">
        <v>4.2</v>
      </c>
    </row>
    <row r="808" spans="1:17" x14ac:dyDescent="0.3">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
      <c r="A811" t="s">
        <v>845</v>
      </c>
      <c r="B811" t="s">
        <v>25</v>
      </c>
      <c r="C811" t="s">
        <v>26</v>
      </c>
      <c r="D811" t="s">
        <v>27</v>
      </c>
      <c r="E811" t="s">
        <v>21</v>
      </c>
      <c r="F811" t="s">
        <v>46</v>
      </c>
      <c r="G811">
        <v>62.18</v>
      </c>
      <c r="H811">
        <v>10</v>
      </c>
      <c r="I811">
        <v>31.09</v>
      </c>
      <c r="J811">
        <v>652.89</v>
      </c>
      <c r="K811" s="1">
        <v>43496</v>
      </c>
      <c r="L811" s="2">
        <v>0.43958333333333333</v>
      </c>
      <c r="M811" t="s">
        <v>23</v>
      </c>
      <c r="N811">
        <v>621.79999999999995</v>
      </c>
      <c r="O811">
        <v>4.7619047620000003</v>
      </c>
      <c r="P811">
        <v>31.09</v>
      </c>
      <c r="Q811">
        <v>6</v>
      </c>
    </row>
    <row r="812" spans="1:17" x14ac:dyDescent="0.3">
      <c r="A812" t="s">
        <v>846</v>
      </c>
      <c r="B812" t="s">
        <v>42</v>
      </c>
      <c r="C812" t="s">
        <v>43</v>
      </c>
      <c r="D812" t="s">
        <v>27</v>
      </c>
      <c r="E812" t="s">
        <v>31</v>
      </c>
      <c r="F812" t="s">
        <v>22</v>
      </c>
      <c r="G812">
        <v>10.75</v>
      </c>
      <c r="H812">
        <v>8</v>
      </c>
      <c r="I812">
        <v>4.3</v>
      </c>
      <c r="J812">
        <v>90.3</v>
      </c>
      <c r="K812" s="1">
        <v>43539</v>
      </c>
      <c r="L812" s="2">
        <v>0.60972222222222228</v>
      </c>
      <c r="M812" t="s">
        <v>23</v>
      </c>
      <c r="N812">
        <v>86</v>
      </c>
      <c r="O812">
        <v>4.7619047620000003</v>
      </c>
      <c r="P812">
        <v>4.3</v>
      </c>
      <c r="Q812">
        <v>6.2</v>
      </c>
    </row>
    <row r="813" spans="1:17" x14ac:dyDescent="0.3">
      <c r="A813" t="s">
        <v>847</v>
      </c>
      <c r="B813" t="s">
        <v>18</v>
      </c>
      <c r="C813" t="s">
        <v>19</v>
      </c>
      <c r="D813" t="s">
        <v>27</v>
      </c>
      <c r="E813" t="s">
        <v>21</v>
      </c>
      <c r="F813" t="s">
        <v>28</v>
      </c>
      <c r="G813">
        <v>40.26</v>
      </c>
      <c r="H813">
        <v>10</v>
      </c>
      <c r="I813">
        <v>20.13</v>
      </c>
      <c r="J813">
        <v>422.73</v>
      </c>
      <c r="K813" s="1">
        <v>43520</v>
      </c>
      <c r="L813" s="2">
        <v>0.75416666666666665</v>
      </c>
      <c r="M813" t="s">
        <v>33</v>
      </c>
      <c r="N813">
        <v>402.6</v>
      </c>
      <c r="O813">
        <v>4.7619047620000003</v>
      </c>
      <c r="P813">
        <v>20.13</v>
      </c>
      <c r="Q813">
        <v>5</v>
      </c>
    </row>
    <row r="814" spans="1:17" x14ac:dyDescent="0.3">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3">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3">
      <c r="A819" t="s">
        <v>853</v>
      </c>
      <c r="B819" t="s">
        <v>18</v>
      </c>
      <c r="C819" t="s">
        <v>19</v>
      </c>
      <c r="D819" t="s">
        <v>27</v>
      </c>
      <c r="E819" t="s">
        <v>31</v>
      </c>
      <c r="F819" t="s">
        <v>44</v>
      </c>
      <c r="G819">
        <v>33.880000000000003</v>
      </c>
      <c r="H819">
        <v>8</v>
      </c>
      <c r="I819">
        <v>13.552</v>
      </c>
      <c r="J819">
        <v>284.59199999999998</v>
      </c>
      <c r="K819" s="1">
        <v>43484</v>
      </c>
      <c r="L819" s="2">
        <v>0.85347222222222219</v>
      </c>
      <c r="M819" t="s">
        <v>23</v>
      </c>
      <c r="N819">
        <v>271.04000000000002</v>
      </c>
      <c r="O819">
        <v>4.7619047620000003</v>
      </c>
      <c r="P819">
        <v>13.552</v>
      </c>
      <c r="Q819">
        <v>9.6</v>
      </c>
    </row>
    <row r="820" spans="1:17" x14ac:dyDescent="0.3">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3">
      <c r="A821" t="s">
        <v>855</v>
      </c>
      <c r="B821" t="s">
        <v>42</v>
      </c>
      <c r="C821" t="s">
        <v>43</v>
      </c>
      <c r="D821" t="s">
        <v>20</v>
      </c>
      <c r="E821" t="s">
        <v>31</v>
      </c>
      <c r="F821" t="s">
        <v>44</v>
      </c>
      <c r="G821">
        <v>47.16</v>
      </c>
      <c r="H821">
        <v>5</v>
      </c>
      <c r="I821">
        <v>11.79</v>
      </c>
      <c r="J821">
        <v>247.59</v>
      </c>
      <c r="K821" s="1">
        <v>43499</v>
      </c>
      <c r="L821" s="2">
        <v>0.60763888888888884</v>
      </c>
      <c r="M821" t="s">
        <v>33</v>
      </c>
      <c r="N821">
        <v>235.8</v>
      </c>
      <c r="O821">
        <v>4.7619047620000003</v>
      </c>
      <c r="P821">
        <v>11.79</v>
      </c>
      <c r="Q821">
        <v>6</v>
      </c>
    </row>
    <row r="822" spans="1:17" x14ac:dyDescent="0.3">
      <c r="A822" t="s">
        <v>856</v>
      </c>
      <c r="B822" t="s">
        <v>42</v>
      </c>
      <c r="C822" t="s">
        <v>43</v>
      </c>
      <c r="D822" t="s">
        <v>27</v>
      </c>
      <c r="E822" t="s">
        <v>31</v>
      </c>
      <c r="F822" t="s">
        <v>28</v>
      </c>
      <c r="G822">
        <v>52.89</v>
      </c>
      <c r="H822">
        <v>4</v>
      </c>
      <c r="I822">
        <v>10.577999999999999</v>
      </c>
      <c r="J822">
        <v>222.13800000000001</v>
      </c>
      <c r="K822" s="1">
        <v>43549</v>
      </c>
      <c r="L822" s="2">
        <v>0.68888888888888888</v>
      </c>
      <c r="M822" t="s">
        <v>23</v>
      </c>
      <c r="N822">
        <v>211.56</v>
      </c>
      <c r="O822">
        <v>4.7619047620000003</v>
      </c>
      <c r="P822">
        <v>10.577999999999999</v>
      </c>
      <c r="Q822">
        <v>6.7</v>
      </c>
    </row>
    <row r="823" spans="1:17" x14ac:dyDescent="0.3">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3">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3">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3">
      <c r="A828" t="s">
        <v>862</v>
      </c>
      <c r="B828" t="s">
        <v>42</v>
      </c>
      <c r="C828" t="s">
        <v>43</v>
      </c>
      <c r="D828" t="s">
        <v>20</v>
      </c>
      <c r="E828" t="s">
        <v>21</v>
      </c>
      <c r="F828" t="s">
        <v>22</v>
      </c>
      <c r="G828">
        <v>72.11</v>
      </c>
      <c r="H828">
        <v>9</v>
      </c>
      <c r="I828">
        <v>32.4495</v>
      </c>
      <c r="J828">
        <v>681.43949999999995</v>
      </c>
      <c r="K828" s="1">
        <v>43493</v>
      </c>
      <c r="L828" s="2">
        <v>0.57847222222222228</v>
      </c>
      <c r="M828" t="s">
        <v>33</v>
      </c>
      <c r="N828">
        <v>648.99</v>
      </c>
      <c r="O828">
        <v>4.7619047620000003</v>
      </c>
      <c r="P828">
        <v>32.4495</v>
      </c>
      <c r="Q828">
        <v>7.7</v>
      </c>
    </row>
    <row r="829" spans="1:17" x14ac:dyDescent="0.3">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3">
      <c r="A830" t="s">
        <v>864</v>
      </c>
      <c r="B830" t="s">
        <v>25</v>
      </c>
      <c r="C830" t="s">
        <v>26</v>
      </c>
      <c r="D830" t="s">
        <v>27</v>
      </c>
      <c r="E830" t="s">
        <v>31</v>
      </c>
      <c r="F830" t="s">
        <v>28</v>
      </c>
      <c r="G830">
        <v>64.95</v>
      </c>
      <c r="H830">
        <v>10</v>
      </c>
      <c r="I830">
        <v>32.475000000000001</v>
      </c>
      <c r="J830">
        <v>681.97500000000002</v>
      </c>
      <c r="K830" s="1">
        <v>43548</v>
      </c>
      <c r="L830" s="2">
        <v>0.76875000000000004</v>
      </c>
      <c r="M830" t="s">
        <v>29</v>
      </c>
      <c r="N830">
        <v>649.5</v>
      </c>
      <c r="O830">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866</v>
      </c>
      <c r="B832" t="s">
        <v>18</v>
      </c>
      <c r="C832" t="s">
        <v>19</v>
      </c>
      <c r="D832" t="s">
        <v>27</v>
      </c>
      <c r="E832" t="s">
        <v>31</v>
      </c>
      <c r="F832" t="s">
        <v>28</v>
      </c>
      <c r="G832">
        <v>10.56</v>
      </c>
      <c r="H832">
        <v>8</v>
      </c>
      <c r="I832">
        <v>4.2240000000000002</v>
      </c>
      <c r="J832">
        <v>88.703999999999994</v>
      </c>
      <c r="K832" s="1">
        <v>43489</v>
      </c>
      <c r="L832" s="2">
        <v>0.73819444444444449</v>
      </c>
      <c r="M832" t="s">
        <v>29</v>
      </c>
      <c r="N832">
        <v>84.48</v>
      </c>
      <c r="O832">
        <v>4.7619047620000003</v>
      </c>
      <c r="P832">
        <v>4.2240000000000002</v>
      </c>
      <c r="Q832">
        <v>7.6</v>
      </c>
    </row>
    <row r="833" spans="1:17" x14ac:dyDescent="0.3">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3">
      <c r="A835" t="s">
        <v>869</v>
      </c>
      <c r="B835" t="s">
        <v>18</v>
      </c>
      <c r="C835" t="s">
        <v>19</v>
      </c>
      <c r="D835" t="s">
        <v>20</v>
      </c>
      <c r="E835" t="s">
        <v>31</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row>
    <row r="836" spans="1:17" x14ac:dyDescent="0.3">
      <c r="A836" t="s">
        <v>870</v>
      </c>
      <c r="B836" t="s">
        <v>42</v>
      </c>
      <c r="C836" t="s">
        <v>43</v>
      </c>
      <c r="D836" t="s">
        <v>20</v>
      </c>
      <c r="E836" t="s">
        <v>21</v>
      </c>
      <c r="F836" t="s">
        <v>32</v>
      </c>
      <c r="G836">
        <v>40.729999999999997</v>
      </c>
      <c r="H836">
        <v>7</v>
      </c>
      <c r="I836">
        <v>14.2555</v>
      </c>
      <c r="J836">
        <v>299.3655</v>
      </c>
      <c r="K836" s="1">
        <v>43536</v>
      </c>
      <c r="L836" s="2">
        <v>0.45902777777777776</v>
      </c>
      <c r="M836" t="s">
        <v>23</v>
      </c>
      <c r="N836">
        <v>285.11</v>
      </c>
      <c r="O836">
        <v>4.7619047620000003</v>
      </c>
      <c r="P836">
        <v>14.2555</v>
      </c>
      <c r="Q836">
        <v>5.4</v>
      </c>
    </row>
    <row r="837" spans="1:17" x14ac:dyDescent="0.3">
      <c r="A837" t="s">
        <v>871</v>
      </c>
      <c r="B837" t="s">
        <v>18</v>
      </c>
      <c r="C837" t="s">
        <v>19</v>
      </c>
      <c r="D837" t="s">
        <v>27</v>
      </c>
      <c r="E837" t="s">
        <v>31</v>
      </c>
      <c r="F837" t="s">
        <v>46</v>
      </c>
      <c r="G837">
        <v>52.38</v>
      </c>
      <c r="H837">
        <v>1</v>
      </c>
      <c r="I837">
        <v>2.6190000000000002</v>
      </c>
      <c r="J837">
        <v>54.999000000000002</v>
      </c>
      <c r="K837" s="1">
        <v>43550</v>
      </c>
      <c r="L837" s="2">
        <v>0.82222222222222219</v>
      </c>
      <c r="M837" t="s">
        <v>29</v>
      </c>
      <c r="N837">
        <v>52.38</v>
      </c>
      <c r="O837">
        <v>4.7619047620000003</v>
      </c>
      <c r="P837">
        <v>2.6190000000000002</v>
      </c>
      <c r="Q837">
        <v>5.8</v>
      </c>
    </row>
    <row r="838" spans="1:17" x14ac:dyDescent="0.3">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3">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
      <c r="A843" t="s">
        <v>877</v>
      </c>
      <c r="B843" t="s">
        <v>42</v>
      </c>
      <c r="C843" t="s">
        <v>43</v>
      </c>
      <c r="D843" t="s">
        <v>27</v>
      </c>
      <c r="E843" t="s">
        <v>31</v>
      </c>
      <c r="F843" t="s">
        <v>28</v>
      </c>
      <c r="G843">
        <v>60.3</v>
      </c>
      <c r="H843">
        <v>1</v>
      </c>
      <c r="I843">
        <v>3.0150000000000001</v>
      </c>
      <c r="J843">
        <v>63.314999999999998</v>
      </c>
      <c r="K843" s="1">
        <v>43524</v>
      </c>
      <c r="L843" s="2">
        <v>0.73472222222222228</v>
      </c>
      <c r="M843" t="s">
        <v>29</v>
      </c>
      <c r="N843">
        <v>60.3</v>
      </c>
      <c r="O843">
        <v>4.7619047620000003</v>
      </c>
      <c r="P843">
        <v>3.0150000000000001</v>
      </c>
      <c r="Q843">
        <v>6</v>
      </c>
    </row>
    <row r="844" spans="1:17" x14ac:dyDescent="0.3">
      <c r="A844" t="s">
        <v>878</v>
      </c>
      <c r="B844" t="s">
        <v>18</v>
      </c>
      <c r="C844" t="s">
        <v>19</v>
      </c>
      <c r="D844" t="s">
        <v>20</v>
      </c>
      <c r="E844" t="s">
        <v>21</v>
      </c>
      <c r="F844" t="s">
        <v>36</v>
      </c>
      <c r="G844">
        <v>39.47</v>
      </c>
      <c r="H844">
        <v>2</v>
      </c>
      <c r="I844">
        <v>3.9470000000000001</v>
      </c>
      <c r="J844">
        <v>82.887</v>
      </c>
      <c r="K844" s="1">
        <v>43526</v>
      </c>
      <c r="L844" s="2">
        <v>0.67777777777777781</v>
      </c>
      <c r="M844" t="s">
        <v>33</v>
      </c>
      <c r="N844">
        <v>78.94</v>
      </c>
      <c r="O844">
        <v>4.7619047620000003</v>
      </c>
      <c r="P844">
        <v>3.9470000000000001</v>
      </c>
      <c r="Q844">
        <v>5</v>
      </c>
    </row>
    <row r="845" spans="1:17" x14ac:dyDescent="0.3">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3">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3">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3">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3">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893</v>
      </c>
      <c r="B859" t="s">
        <v>18</v>
      </c>
      <c r="C859" t="s">
        <v>19</v>
      </c>
      <c r="D859" t="s">
        <v>20</v>
      </c>
      <c r="E859" t="s">
        <v>21</v>
      </c>
      <c r="F859" t="s">
        <v>32</v>
      </c>
      <c r="G859">
        <v>28.31</v>
      </c>
      <c r="H859">
        <v>4</v>
      </c>
      <c r="I859">
        <v>5.6619999999999999</v>
      </c>
      <c r="J859">
        <v>118.902</v>
      </c>
      <c r="K859" s="1">
        <v>43531</v>
      </c>
      <c r="L859" s="2">
        <v>0.77430555555555558</v>
      </c>
      <c r="M859" t="s">
        <v>29</v>
      </c>
      <c r="N859">
        <v>113.24</v>
      </c>
      <c r="O859">
        <v>4.7619047620000003</v>
      </c>
      <c r="P859">
        <v>5.6619999999999999</v>
      </c>
      <c r="Q859">
        <v>8.1999999999999993</v>
      </c>
    </row>
    <row r="860" spans="1:17" x14ac:dyDescent="0.3">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
      <c r="A863" t="s">
        <v>897</v>
      </c>
      <c r="B863" t="s">
        <v>18</v>
      </c>
      <c r="C863" t="s">
        <v>19</v>
      </c>
      <c r="D863" t="s">
        <v>20</v>
      </c>
      <c r="E863" t="s">
        <v>31</v>
      </c>
      <c r="F863" t="s">
        <v>36</v>
      </c>
      <c r="G863">
        <v>12.76</v>
      </c>
      <c r="H863">
        <v>2</v>
      </c>
      <c r="I863">
        <v>1.276</v>
      </c>
      <c r="J863">
        <v>26.795999999999999</v>
      </c>
      <c r="K863" s="1">
        <v>43473</v>
      </c>
      <c r="L863" s="2">
        <v>0.75416666666666665</v>
      </c>
      <c r="M863" t="s">
        <v>23</v>
      </c>
      <c r="N863">
        <v>25.52</v>
      </c>
      <c r="O863">
        <v>4.7619047620000003</v>
      </c>
      <c r="P863">
        <v>1.276</v>
      </c>
      <c r="Q863">
        <v>7.8</v>
      </c>
    </row>
    <row r="864" spans="1:17" x14ac:dyDescent="0.3">
      <c r="A864" t="s">
        <v>898</v>
      </c>
      <c r="B864" t="s">
        <v>42</v>
      </c>
      <c r="C864" t="s">
        <v>43</v>
      </c>
      <c r="D864" t="s">
        <v>27</v>
      </c>
      <c r="E864" t="s">
        <v>21</v>
      </c>
      <c r="F864" t="s">
        <v>32</v>
      </c>
      <c r="G864">
        <v>11.28</v>
      </c>
      <c r="H864">
        <v>9</v>
      </c>
      <c r="I864">
        <v>5.0759999999999996</v>
      </c>
      <c r="J864">
        <v>106.596</v>
      </c>
      <c r="K864" s="1">
        <v>43541</v>
      </c>
      <c r="L864" s="2">
        <v>0.49652777777777779</v>
      </c>
      <c r="M864" t="s">
        <v>33</v>
      </c>
      <c r="N864">
        <v>101.52</v>
      </c>
      <c r="O864">
        <v>4.7619047620000003</v>
      </c>
      <c r="P864">
        <v>5.0759999999999996</v>
      </c>
      <c r="Q864">
        <v>4.3</v>
      </c>
    </row>
    <row r="865" spans="1:17" x14ac:dyDescent="0.3">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
      <c r="A870" t="s">
        <v>904</v>
      </c>
      <c r="B870" t="s">
        <v>25</v>
      </c>
      <c r="C870" t="s">
        <v>26</v>
      </c>
      <c r="D870" t="s">
        <v>20</v>
      </c>
      <c r="E870" t="s">
        <v>31</v>
      </c>
      <c r="F870" t="s">
        <v>44</v>
      </c>
      <c r="G870">
        <v>24.31</v>
      </c>
      <c r="H870">
        <v>3</v>
      </c>
      <c r="I870">
        <v>3.6465000000000001</v>
      </c>
      <c r="J870">
        <v>76.576499999999996</v>
      </c>
      <c r="K870" s="1">
        <v>43473</v>
      </c>
      <c r="L870" s="2">
        <v>0.79791666666666672</v>
      </c>
      <c r="M870" t="s">
        <v>33</v>
      </c>
      <c r="N870">
        <v>72.930000000000007</v>
      </c>
      <c r="O870">
        <v>4.7619047620000003</v>
      </c>
      <c r="P870">
        <v>3.6465000000000001</v>
      </c>
      <c r="Q870">
        <v>4.3</v>
      </c>
    </row>
    <row r="871" spans="1:17" x14ac:dyDescent="0.3">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
      <c r="A872" t="s">
        <v>906</v>
      </c>
      <c r="B872" t="s">
        <v>18</v>
      </c>
      <c r="C872" t="s">
        <v>19</v>
      </c>
      <c r="D872" t="s">
        <v>20</v>
      </c>
      <c r="E872" t="s">
        <v>31</v>
      </c>
      <c r="F872" t="s">
        <v>44</v>
      </c>
      <c r="G872">
        <v>24.82</v>
      </c>
      <c r="H872">
        <v>7</v>
      </c>
      <c r="I872">
        <v>8.6869999999999994</v>
      </c>
      <c r="J872">
        <v>182.42699999999999</v>
      </c>
      <c r="K872" s="1">
        <v>43512</v>
      </c>
      <c r="L872" s="2">
        <v>0.43958333333333333</v>
      </c>
      <c r="M872" t="s">
        <v>33</v>
      </c>
      <c r="N872">
        <v>173.74</v>
      </c>
      <c r="O872">
        <v>4.7619047620000003</v>
      </c>
      <c r="P872">
        <v>8.6869999999999994</v>
      </c>
      <c r="Q872">
        <v>7.1</v>
      </c>
    </row>
    <row r="873" spans="1:17" x14ac:dyDescent="0.3">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
      <c r="A874" t="s">
        <v>908</v>
      </c>
      <c r="B874" t="s">
        <v>42</v>
      </c>
      <c r="C874" t="s">
        <v>43</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row>
    <row r="875" spans="1:17" x14ac:dyDescent="0.3">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3">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3">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s="1">
        <v>43545</v>
      </c>
      <c r="L880" s="2">
        <v>0.67222222222222228</v>
      </c>
      <c r="M880" t="s">
        <v>33</v>
      </c>
      <c r="N880">
        <v>720.16</v>
      </c>
      <c r="O880">
        <v>4.7619047620000003</v>
      </c>
      <c r="P880">
        <v>36.008000000000003</v>
      </c>
      <c r="Q880">
        <v>4.5</v>
      </c>
    </row>
    <row r="881" spans="1:17" x14ac:dyDescent="0.3">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3">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3">
      <c r="A884" t="s">
        <v>918</v>
      </c>
      <c r="B884" t="s">
        <v>42</v>
      </c>
      <c r="C884" t="s">
        <v>43</v>
      </c>
      <c r="D884" t="s">
        <v>20</v>
      </c>
      <c r="E884" t="s">
        <v>31</v>
      </c>
      <c r="F884" t="s">
        <v>36</v>
      </c>
      <c r="G884">
        <v>31.99</v>
      </c>
      <c r="H884">
        <v>10</v>
      </c>
      <c r="I884">
        <v>15.994999999999999</v>
      </c>
      <c r="J884">
        <v>335.89499999999998</v>
      </c>
      <c r="K884" s="1">
        <v>43516</v>
      </c>
      <c r="L884" s="2">
        <v>0.63749999999999996</v>
      </c>
      <c r="M884" t="s">
        <v>33</v>
      </c>
      <c r="N884">
        <v>319.89999999999998</v>
      </c>
      <c r="O884">
        <v>4.7619047620000003</v>
      </c>
      <c r="P884">
        <v>15.994999999999999</v>
      </c>
      <c r="Q884">
        <v>9.9</v>
      </c>
    </row>
    <row r="885" spans="1:17" x14ac:dyDescent="0.3">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3">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row>
    <row r="890" spans="1:17" x14ac:dyDescent="0.3">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
      <c r="A891" t="s">
        <v>925</v>
      </c>
      <c r="B891" t="s">
        <v>18</v>
      </c>
      <c r="C891" t="s">
        <v>19</v>
      </c>
      <c r="D891" t="s">
        <v>20</v>
      </c>
      <c r="E891" t="s">
        <v>31</v>
      </c>
      <c r="F891" t="s">
        <v>36</v>
      </c>
      <c r="G891">
        <v>76.92</v>
      </c>
      <c r="H891">
        <v>10</v>
      </c>
      <c r="I891">
        <v>38.46</v>
      </c>
      <c r="J891">
        <v>807.66</v>
      </c>
      <c r="K891" s="1">
        <v>43541</v>
      </c>
      <c r="L891" s="2">
        <v>0.82847222222222228</v>
      </c>
      <c r="M891" t="s">
        <v>23</v>
      </c>
      <c r="N891">
        <v>769.2</v>
      </c>
      <c r="O891">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3">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
      <c r="A896" t="s">
        <v>930</v>
      </c>
      <c r="B896" t="s">
        <v>42</v>
      </c>
      <c r="C896" t="s">
        <v>43</v>
      </c>
      <c r="D896" t="s">
        <v>20</v>
      </c>
      <c r="E896" t="s">
        <v>31</v>
      </c>
      <c r="F896" t="s">
        <v>28</v>
      </c>
      <c r="G896">
        <v>50.45</v>
      </c>
      <c r="H896">
        <v>6</v>
      </c>
      <c r="I896">
        <v>15.135</v>
      </c>
      <c r="J896">
        <v>317.83499999999998</v>
      </c>
      <c r="K896" s="1">
        <v>43502</v>
      </c>
      <c r="L896" s="2">
        <v>0.63611111111111107</v>
      </c>
      <c r="M896" t="s">
        <v>33</v>
      </c>
      <c r="N896">
        <v>302.7</v>
      </c>
      <c r="O896">
        <v>4.7619047620000003</v>
      </c>
      <c r="P896">
        <v>15.135</v>
      </c>
      <c r="Q896">
        <v>8.9</v>
      </c>
    </row>
    <row r="897" spans="1:17" x14ac:dyDescent="0.3">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3">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3">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
      <c r="A900" t="s">
        <v>934</v>
      </c>
      <c r="B900" t="s">
        <v>25</v>
      </c>
      <c r="C900" t="s">
        <v>26</v>
      </c>
      <c r="D900" t="s">
        <v>20</v>
      </c>
      <c r="E900" t="s">
        <v>31</v>
      </c>
      <c r="F900" t="s">
        <v>22</v>
      </c>
      <c r="G900">
        <v>85.6</v>
      </c>
      <c r="H900">
        <v>7</v>
      </c>
      <c r="I900">
        <v>29.96</v>
      </c>
      <c r="J900">
        <v>629.16</v>
      </c>
      <c r="K900" s="1">
        <v>43526</v>
      </c>
      <c r="L900" s="2">
        <v>0.57638888888888884</v>
      </c>
      <c r="M900" t="s">
        <v>29</v>
      </c>
      <c r="N900">
        <v>599.20000000000005</v>
      </c>
      <c r="O900">
        <v>4.7619047620000003</v>
      </c>
      <c r="P900">
        <v>29.96</v>
      </c>
      <c r="Q900">
        <v>5.3</v>
      </c>
    </row>
    <row r="901" spans="1:17" x14ac:dyDescent="0.3">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3">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s="1">
        <v>43550</v>
      </c>
      <c r="L904" s="2">
        <v>0.84791666666666665</v>
      </c>
      <c r="M904" t="s">
        <v>33</v>
      </c>
      <c r="N904">
        <v>138.65</v>
      </c>
      <c r="O904">
        <v>4.7619047620000003</v>
      </c>
      <c r="P904">
        <v>6.9325000000000001</v>
      </c>
      <c r="Q904">
        <v>4.2</v>
      </c>
    </row>
    <row r="905" spans="1:17" x14ac:dyDescent="0.3">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3">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3">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3">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
      <c r="A911" t="s">
        <v>945</v>
      </c>
      <c r="B911" t="s">
        <v>42</v>
      </c>
      <c r="C911" t="s">
        <v>43</v>
      </c>
      <c r="D911" t="s">
        <v>27</v>
      </c>
      <c r="E911" t="s">
        <v>21</v>
      </c>
      <c r="F911" t="s">
        <v>32</v>
      </c>
      <c r="G911">
        <v>49.01</v>
      </c>
      <c r="H911">
        <v>10</v>
      </c>
      <c r="I911">
        <v>24.504999999999999</v>
      </c>
      <c r="J911">
        <v>514.60500000000002</v>
      </c>
      <c r="K911" s="1">
        <v>43492</v>
      </c>
      <c r="L911" s="2">
        <v>0.44722222222222224</v>
      </c>
      <c r="M911" t="s">
        <v>33</v>
      </c>
      <c r="N911">
        <v>490.1</v>
      </c>
      <c r="O911">
        <v>4.7619047620000003</v>
      </c>
      <c r="P911">
        <v>24.504999999999999</v>
      </c>
      <c r="Q911">
        <v>4.2</v>
      </c>
    </row>
    <row r="912" spans="1:17" x14ac:dyDescent="0.3">
      <c r="A912" t="s">
        <v>946</v>
      </c>
      <c r="B912" t="s">
        <v>42</v>
      </c>
      <c r="C912" t="s">
        <v>43</v>
      </c>
      <c r="D912" t="s">
        <v>20</v>
      </c>
      <c r="E912" t="s">
        <v>21</v>
      </c>
      <c r="F912" t="s">
        <v>44</v>
      </c>
      <c r="G912">
        <v>29.15</v>
      </c>
      <c r="H912">
        <v>3</v>
      </c>
      <c r="I912">
        <v>4.3724999999999996</v>
      </c>
      <c r="J912">
        <v>91.822500000000005</v>
      </c>
      <c r="K912" s="1">
        <v>43551</v>
      </c>
      <c r="L912" s="2">
        <v>0.85347222222222219</v>
      </c>
      <c r="M912" t="s">
        <v>33</v>
      </c>
      <c r="N912">
        <v>87.45</v>
      </c>
      <c r="O912">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3">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
      <c r="A920" t="s">
        <v>954</v>
      </c>
      <c r="B920" t="s">
        <v>42</v>
      </c>
      <c r="C920" t="s">
        <v>43</v>
      </c>
      <c r="D920" t="s">
        <v>27</v>
      </c>
      <c r="E920" t="s">
        <v>31</v>
      </c>
      <c r="F920" t="s">
        <v>32</v>
      </c>
      <c r="G920">
        <v>68.97</v>
      </c>
      <c r="H920">
        <v>3</v>
      </c>
      <c r="I920">
        <v>10.345499999999999</v>
      </c>
      <c r="J920">
        <v>217.25550000000001</v>
      </c>
      <c r="K920" s="1">
        <v>43518</v>
      </c>
      <c r="L920" s="2">
        <v>0.47638888888888886</v>
      </c>
      <c r="M920" t="s">
        <v>23</v>
      </c>
      <c r="N920">
        <v>206.91</v>
      </c>
      <c r="O920">
        <v>4.7619047620000003</v>
      </c>
      <c r="P920">
        <v>10.345499999999999</v>
      </c>
      <c r="Q920">
        <v>8.6999999999999993</v>
      </c>
    </row>
    <row r="921" spans="1:17" x14ac:dyDescent="0.3">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3">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3">
      <c r="A925" t="s">
        <v>959</v>
      </c>
      <c r="B925" t="s">
        <v>25</v>
      </c>
      <c r="C925" t="s">
        <v>26</v>
      </c>
      <c r="D925" t="s">
        <v>27</v>
      </c>
      <c r="E925" t="s">
        <v>21</v>
      </c>
      <c r="F925" t="s">
        <v>36</v>
      </c>
      <c r="G925">
        <v>83.14</v>
      </c>
      <c r="H925">
        <v>7</v>
      </c>
      <c r="I925">
        <v>29.099</v>
      </c>
      <c r="J925">
        <v>611.07899999999995</v>
      </c>
      <c r="K925" s="1">
        <v>43475</v>
      </c>
      <c r="L925" s="2">
        <v>0.43819444444444444</v>
      </c>
      <c r="M925" t="s">
        <v>33</v>
      </c>
      <c r="N925">
        <v>581.98</v>
      </c>
      <c r="O925">
        <v>4.7619047620000003</v>
      </c>
      <c r="P925">
        <v>29.099</v>
      </c>
      <c r="Q925">
        <v>6.6</v>
      </c>
    </row>
    <row r="926" spans="1:17" x14ac:dyDescent="0.3">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
      <c r="A927" t="s">
        <v>961</v>
      </c>
      <c r="B927" t="s">
        <v>42</v>
      </c>
      <c r="C927" t="s">
        <v>43</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row>
    <row r="928" spans="1:17" x14ac:dyDescent="0.3">
      <c r="A928" t="s">
        <v>962</v>
      </c>
      <c r="B928" t="s">
        <v>42</v>
      </c>
      <c r="C928" t="s">
        <v>43</v>
      </c>
      <c r="D928" t="s">
        <v>20</v>
      </c>
      <c r="E928" t="s">
        <v>31</v>
      </c>
      <c r="F928" t="s">
        <v>36</v>
      </c>
      <c r="G928">
        <v>88.31</v>
      </c>
      <c r="H928">
        <v>1</v>
      </c>
      <c r="I928">
        <v>4.4154999999999998</v>
      </c>
      <c r="J928">
        <v>92.725499999999997</v>
      </c>
      <c r="K928" s="1">
        <v>43511</v>
      </c>
      <c r="L928" s="2">
        <v>0.73472222222222228</v>
      </c>
      <c r="M928" t="s">
        <v>33</v>
      </c>
      <c r="N928">
        <v>88.31</v>
      </c>
      <c r="O928">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33</v>
      </c>
      <c r="N929">
        <v>356.58</v>
      </c>
      <c r="O929">
        <v>4.7619047620000003</v>
      </c>
      <c r="P929">
        <v>17.829000000000001</v>
      </c>
      <c r="Q929">
        <v>6.8</v>
      </c>
    </row>
    <row r="930" spans="1:17" x14ac:dyDescent="0.3">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3">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3">
      <c r="A935" t="s">
        <v>969</v>
      </c>
      <c r="B935" t="s">
        <v>25</v>
      </c>
      <c r="C935" t="s">
        <v>26</v>
      </c>
      <c r="D935" t="s">
        <v>27</v>
      </c>
      <c r="E935" t="s">
        <v>31</v>
      </c>
      <c r="F935" t="s">
        <v>22</v>
      </c>
      <c r="G935">
        <v>64.08</v>
      </c>
      <c r="H935">
        <v>7</v>
      </c>
      <c r="I935">
        <v>22.428000000000001</v>
      </c>
      <c r="J935">
        <v>470.988</v>
      </c>
      <c r="K935" s="1">
        <v>43485</v>
      </c>
      <c r="L935" s="2">
        <v>0.51875000000000004</v>
      </c>
      <c r="M935" t="s">
        <v>23</v>
      </c>
      <c r="N935">
        <v>448.56</v>
      </c>
      <c r="O935">
        <v>4.7619047620000003</v>
      </c>
      <c r="P935">
        <v>22.428000000000001</v>
      </c>
      <c r="Q935">
        <v>7.6</v>
      </c>
    </row>
    <row r="936" spans="1:17" x14ac:dyDescent="0.3">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3">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row>
    <row r="939" spans="1:17" x14ac:dyDescent="0.3">
      <c r="A939" t="s">
        <v>973</v>
      </c>
      <c r="B939" t="s">
        <v>18</v>
      </c>
      <c r="C939" t="s">
        <v>19</v>
      </c>
      <c r="D939" t="s">
        <v>27</v>
      </c>
      <c r="E939" t="s">
        <v>21</v>
      </c>
      <c r="F939" t="s">
        <v>36</v>
      </c>
      <c r="G939">
        <v>89.48</v>
      </c>
      <c r="H939">
        <v>5</v>
      </c>
      <c r="I939">
        <v>22.37</v>
      </c>
      <c r="J939">
        <v>469.77</v>
      </c>
      <c r="K939" s="1">
        <v>43554</v>
      </c>
      <c r="L939" s="2">
        <v>0.42916666666666664</v>
      </c>
      <c r="M939" t="s">
        <v>29</v>
      </c>
      <c r="N939">
        <v>447.4</v>
      </c>
      <c r="O939">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
      <c r="A942" t="s">
        <v>976</v>
      </c>
      <c r="B942" t="s">
        <v>18</v>
      </c>
      <c r="C942" t="s">
        <v>19</v>
      </c>
      <c r="D942" t="s">
        <v>27</v>
      </c>
      <c r="E942" t="s">
        <v>31</v>
      </c>
      <c r="F942" t="s">
        <v>44</v>
      </c>
      <c r="G942">
        <v>66.52</v>
      </c>
      <c r="H942">
        <v>4</v>
      </c>
      <c r="I942">
        <v>13.304</v>
      </c>
      <c r="J942">
        <v>279.38400000000001</v>
      </c>
      <c r="K942" s="1">
        <v>43526</v>
      </c>
      <c r="L942" s="2">
        <v>0.75972222222222219</v>
      </c>
      <c r="M942" t="s">
        <v>23</v>
      </c>
      <c r="N942">
        <v>266.08</v>
      </c>
      <c r="O942">
        <v>4.7619047620000003</v>
      </c>
      <c r="P942">
        <v>13.304</v>
      </c>
      <c r="Q942">
        <v>6.9</v>
      </c>
    </row>
    <row r="943" spans="1:17" x14ac:dyDescent="0.3">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3">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3">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1">
        <v>43470</v>
      </c>
      <c r="L947" s="2">
        <v>0.49375000000000002</v>
      </c>
      <c r="M947" t="s">
        <v>33</v>
      </c>
      <c r="N947">
        <v>657.16</v>
      </c>
      <c r="O947">
        <v>4.7619047620000003</v>
      </c>
      <c r="P947">
        <v>32.857999999999997</v>
      </c>
      <c r="Q947">
        <v>7.3</v>
      </c>
    </row>
    <row r="948" spans="1:17" x14ac:dyDescent="0.3">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3">
      <c r="A949" t="s">
        <v>983</v>
      </c>
      <c r="B949" t="s">
        <v>42</v>
      </c>
      <c r="C949" t="s">
        <v>43</v>
      </c>
      <c r="D949" t="s">
        <v>20</v>
      </c>
      <c r="E949" t="s">
        <v>31</v>
      </c>
      <c r="F949" t="s">
        <v>46</v>
      </c>
      <c r="G949">
        <v>53.78</v>
      </c>
      <c r="H949">
        <v>1</v>
      </c>
      <c r="I949">
        <v>2.6890000000000001</v>
      </c>
      <c r="J949">
        <v>56.469000000000001</v>
      </c>
      <c r="K949" s="1">
        <v>43499</v>
      </c>
      <c r="L949" s="2">
        <v>0.84236111111111112</v>
      </c>
      <c r="M949" t="s">
        <v>23</v>
      </c>
      <c r="N949">
        <v>53.78</v>
      </c>
      <c r="O949">
        <v>4.7619047620000003</v>
      </c>
      <c r="P949">
        <v>2.6890000000000001</v>
      </c>
      <c r="Q949">
        <v>4.7</v>
      </c>
    </row>
    <row r="950" spans="1:17" x14ac:dyDescent="0.3">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
      <c r="A953" t="s">
        <v>987</v>
      </c>
      <c r="B953" t="s">
        <v>42</v>
      </c>
      <c r="C953" t="s">
        <v>43</v>
      </c>
      <c r="D953" t="s">
        <v>20</v>
      </c>
      <c r="E953" t="s">
        <v>21</v>
      </c>
      <c r="F953" t="s">
        <v>32</v>
      </c>
      <c r="G953">
        <v>21.9</v>
      </c>
      <c r="H953">
        <v>3</v>
      </c>
      <c r="I953">
        <v>3.2850000000000001</v>
      </c>
      <c r="J953">
        <v>68.984999999999999</v>
      </c>
      <c r="K953" s="1">
        <v>43474</v>
      </c>
      <c r="L953" s="2">
        <v>0.77986111111111112</v>
      </c>
      <c r="M953" t="s">
        <v>23</v>
      </c>
      <c r="N953">
        <v>65.7</v>
      </c>
      <c r="O953">
        <v>4.7619047620000003</v>
      </c>
      <c r="P953">
        <v>3.2850000000000001</v>
      </c>
      <c r="Q953">
        <v>4.7</v>
      </c>
    </row>
    <row r="954" spans="1:17" x14ac:dyDescent="0.3">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3">
      <c r="A957" t="s">
        <v>991</v>
      </c>
      <c r="B957" t="s">
        <v>18</v>
      </c>
      <c r="C957" t="s">
        <v>19</v>
      </c>
      <c r="D957" t="s">
        <v>27</v>
      </c>
      <c r="E957" t="s">
        <v>21</v>
      </c>
      <c r="F957" t="s">
        <v>46</v>
      </c>
      <c r="G957">
        <v>42.57</v>
      </c>
      <c r="H957">
        <v>7</v>
      </c>
      <c r="I957">
        <v>14.8995</v>
      </c>
      <c r="J957">
        <v>312.8895</v>
      </c>
      <c r="K957" s="1">
        <v>43471</v>
      </c>
      <c r="L957" s="2">
        <v>0.49375000000000002</v>
      </c>
      <c r="M957" t="s">
        <v>29</v>
      </c>
      <c r="N957">
        <v>297.99</v>
      </c>
      <c r="O957">
        <v>4.7619047620000003</v>
      </c>
      <c r="P957">
        <v>14.8995</v>
      </c>
      <c r="Q957">
        <v>6.8</v>
      </c>
    </row>
    <row r="958" spans="1:17" x14ac:dyDescent="0.3">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3">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
      <c r="A962" t="s">
        <v>996</v>
      </c>
      <c r="B962" t="s">
        <v>25</v>
      </c>
      <c r="C962" t="s">
        <v>26</v>
      </c>
      <c r="D962" t="s">
        <v>20</v>
      </c>
      <c r="E962" t="s">
        <v>31</v>
      </c>
      <c r="F962" t="s">
        <v>46</v>
      </c>
      <c r="G962">
        <v>91.98</v>
      </c>
      <c r="H962">
        <v>1</v>
      </c>
      <c r="I962">
        <v>4.5990000000000002</v>
      </c>
      <c r="J962">
        <v>96.578999999999994</v>
      </c>
      <c r="K962" s="1">
        <v>43542</v>
      </c>
      <c r="L962" s="2">
        <v>0.64513888888888893</v>
      </c>
      <c r="M962" t="s">
        <v>29</v>
      </c>
      <c r="N962">
        <v>91.98</v>
      </c>
      <c r="O962">
        <v>4.7619047620000003</v>
      </c>
      <c r="P962">
        <v>4.5990000000000002</v>
      </c>
      <c r="Q962">
        <v>9.8000000000000007</v>
      </c>
    </row>
    <row r="963" spans="1:17" x14ac:dyDescent="0.3">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
      <c r="A964" t="s">
        <v>998</v>
      </c>
      <c r="B964" t="s">
        <v>18</v>
      </c>
      <c r="C964" t="s">
        <v>19</v>
      </c>
      <c r="D964" t="s">
        <v>27</v>
      </c>
      <c r="E964" t="s">
        <v>21</v>
      </c>
      <c r="F964" t="s">
        <v>46</v>
      </c>
      <c r="G964">
        <v>15.5</v>
      </c>
      <c r="H964">
        <v>1</v>
      </c>
      <c r="I964">
        <v>0.77500000000000002</v>
      </c>
      <c r="J964">
        <v>16.274999999999999</v>
      </c>
      <c r="K964" s="1">
        <v>43543</v>
      </c>
      <c r="L964" s="2">
        <v>0.64097222222222228</v>
      </c>
      <c r="M964" t="s">
        <v>33</v>
      </c>
      <c r="N964">
        <v>15.5</v>
      </c>
      <c r="O964">
        <v>4.7619047620000003</v>
      </c>
      <c r="P964">
        <v>0.77500000000000002</v>
      </c>
      <c r="Q964">
        <v>7.4</v>
      </c>
    </row>
    <row r="965" spans="1:17" x14ac:dyDescent="0.3">
      <c r="A965" t="s">
        <v>999</v>
      </c>
      <c r="B965" t="s">
        <v>25</v>
      </c>
      <c r="C965" t="s">
        <v>26</v>
      </c>
      <c r="D965" t="s">
        <v>20</v>
      </c>
      <c r="E965" t="s">
        <v>31</v>
      </c>
      <c r="F965" t="s">
        <v>28</v>
      </c>
      <c r="G965">
        <v>96.82</v>
      </c>
      <c r="H965">
        <v>3</v>
      </c>
      <c r="I965">
        <v>14.523</v>
      </c>
      <c r="J965">
        <v>304.983</v>
      </c>
      <c r="K965" s="1">
        <v>43554</v>
      </c>
      <c r="L965" s="2">
        <v>0.85902777777777772</v>
      </c>
      <c r="M965" t="s">
        <v>29</v>
      </c>
      <c r="N965">
        <v>290.45999999999998</v>
      </c>
      <c r="O965">
        <v>4.7619047620000003</v>
      </c>
      <c r="P965">
        <v>14.523</v>
      </c>
      <c r="Q965">
        <v>6.7</v>
      </c>
    </row>
    <row r="966" spans="1:17" x14ac:dyDescent="0.3">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3">
      <c r="A967" t="s">
        <v>1001</v>
      </c>
      <c r="B967" t="s">
        <v>42</v>
      </c>
      <c r="C967" t="s">
        <v>43</v>
      </c>
      <c r="D967" t="s">
        <v>27</v>
      </c>
      <c r="E967" t="s">
        <v>21</v>
      </c>
      <c r="F967" t="s">
        <v>28</v>
      </c>
      <c r="G967">
        <v>38.270000000000003</v>
      </c>
      <c r="H967">
        <v>2</v>
      </c>
      <c r="I967">
        <v>3.827</v>
      </c>
      <c r="J967">
        <v>80.367000000000004</v>
      </c>
      <c r="K967" s="1">
        <v>43526</v>
      </c>
      <c r="L967" s="2">
        <v>0.76249999999999996</v>
      </c>
      <c r="M967" t="s">
        <v>33</v>
      </c>
      <c r="N967">
        <v>76.540000000000006</v>
      </c>
      <c r="O967">
        <v>4.7619047620000003</v>
      </c>
      <c r="P967">
        <v>3.827</v>
      </c>
      <c r="Q967">
        <v>5.8</v>
      </c>
    </row>
    <row r="968" spans="1:17" x14ac:dyDescent="0.3">
      <c r="A968" t="s">
        <v>1002</v>
      </c>
      <c r="B968" t="s">
        <v>18</v>
      </c>
      <c r="C968" t="s">
        <v>19</v>
      </c>
      <c r="D968" t="s">
        <v>27</v>
      </c>
      <c r="E968" t="s">
        <v>21</v>
      </c>
      <c r="F968" t="s">
        <v>32</v>
      </c>
      <c r="G968">
        <v>33.299999999999997</v>
      </c>
      <c r="H968">
        <v>9</v>
      </c>
      <c r="I968">
        <v>14.984999999999999</v>
      </c>
      <c r="J968">
        <v>314.685</v>
      </c>
      <c r="K968" s="1">
        <v>43528</v>
      </c>
      <c r="L968" s="2">
        <v>0.64375000000000004</v>
      </c>
      <c r="M968" t="s">
        <v>23</v>
      </c>
      <c r="N968">
        <v>299.7</v>
      </c>
      <c r="O968">
        <v>4.7619047620000003</v>
      </c>
      <c r="P968">
        <v>14.984999999999999</v>
      </c>
      <c r="Q968">
        <v>7.2</v>
      </c>
    </row>
    <row r="969" spans="1:17" x14ac:dyDescent="0.3">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row>
    <row r="971" spans="1:17" x14ac:dyDescent="0.3">
      <c r="A971" t="s">
        <v>1005</v>
      </c>
      <c r="B971" t="s">
        <v>42</v>
      </c>
      <c r="C971" t="s">
        <v>43</v>
      </c>
      <c r="D971" t="s">
        <v>20</v>
      </c>
      <c r="E971" t="s">
        <v>21</v>
      </c>
      <c r="F971" t="s">
        <v>28</v>
      </c>
      <c r="G971">
        <v>34.49</v>
      </c>
      <c r="H971">
        <v>5</v>
      </c>
      <c r="I971">
        <v>8.6225000000000005</v>
      </c>
      <c r="J971">
        <v>181.07249999999999</v>
      </c>
      <c r="K971" s="1">
        <v>43535</v>
      </c>
      <c r="L971" s="2">
        <v>0.82222222222222219</v>
      </c>
      <c r="M971" t="s">
        <v>33</v>
      </c>
      <c r="N971">
        <v>172.45</v>
      </c>
      <c r="O971">
        <v>4.7619047620000003</v>
      </c>
      <c r="P971">
        <v>8.6225000000000005</v>
      </c>
      <c r="Q971">
        <v>9</v>
      </c>
    </row>
    <row r="972" spans="1:17" x14ac:dyDescent="0.3">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
      <c r="A975" t="s">
        <v>1009</v>
      </c>
      <c r="B975" t="s">
        <v>18</v>
      </c>
      <c r="C975" t="s">
        <v>19</v>
      </c>
      <c r="D975" t="s">
        <v>27</v>
      </c>
      <c r="E975" t="s">
        <v>31</v>
      </c>
      <c r="F975" t="s">
        <v>32</v>
      </c>
      <c r="G975">
        <v>80.08</v>
      </c>
      <c r="H975">
        <v>3</v>
      </c>
      <c r="I975">
        <v>12.012</v>
      </c>
      <c r="J975">
        <v>252.25200000000001</v>
      </c>
      <c r="K975" s="1">
        <v>43507</v>
      </c>
      <c r="L975" s="2">
        <v>0.64513888888888893</v>
      </c>
      <c r="M975" t="s">
        <v>29</v>
      </c>
      <c r="N975">
        <v>240.24</v>
      </c>
      <c r="O975">
        <v>4.7619047620000003</v>
      </c>
      <c r="P975">
        <v>12.012</v>
      </c>
      <c r="Q975">
        <v>5.4</v>
      </c>
    </row>
    <row r="976" spans="1:17" x14ac:dyDescent="0.3">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
      <c r="A977" t="s">
        <v>1011</v>
      </c>
      <c r="B977" t="s">
        <v>42</v>
      </c>
      <c r="C977" t="s">
        <v>43</v>
      </c>
      <c r="D977" t="s">
        <v>20</v>
      </c>
      <c r="E977" t="s">
        <v>31</v>
      </c>
      <c r="F977" t="s">
        <v>46</v>
      </c>
      <c r="G977">
        <v>49.92</v>
      </c>
      <c r="H977">
        <v>2</v>
      </c>
      <c r="I977">
        <v>4.992</v>
      </c>
      <c r="J977">
        <v>104.83199999999999</v>
      </c>
      <c r="K977" s="1">
        <v>43530</v>
      </c>
      <c r="L977" s="2">
        <v>0.49652777777777779</v>
      </c>
      <c r="M977" t="s">
        <v>33</v>
      </c>
      <c r="N977">
        <v>99.84</v>
      </c>
      <c r="O977">
        <v>4.7619047620000003</v>
      </c>
      <c r="P977">
        <v>4.992</v>
      </c>
      <c r="Q977">
        <v>7</v>
      </c>
    </row>
    <row r="978" spans="1:17" x14ac:dyDescent="0.3">
      <c r="A978" t="s">
        <v>1012</v>
      </c>
      <c r="B978" t="s">
        <v>18</v>
      </c>
      <c r="C978" t="s">
        <v>19</v>
      </c>
      <c r="D978" t="s">
        <v>27</v>
      </c>
      <c r="E978" t="s">
        <v>21</v>
      </c>
      <c r="F978" t="s">
        <v>44</v>
      </c>
      <c r="G978">
        <v>74.66</v>
      </c>
      <c r="H978">
        <v>4</v>
      </c>
      <c r="I978">
        <v>14.932</v>
      </c>
      <c r="J978">
        <v>313.572</v>
      </c>
      <c r="K978" s="1">
        <v>43528</v>
      </c>
      <c r="L978" s="2">
        <v>0.44374999999999998</v>
      </c>
      <c r="M978" t="s">
        <v>29</v>
      </c>
      <c r="N978">
        <v>298.64</v>
      </c>
      <c r="O978">
        <v>4.7619047620000003</v>
      </c>
      <c r="P978">
        <v>14.932</v>
      </c>
      <c r="Q978">
        <v>8.5</v>
      </c>
    </row>
    <row r="979" spans="1:17" x14ac:dyDescent="0.3">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3">
      <c r="A980" t="s">
        <v>1014</v>
      </c>
      <c r="B980" t="s">
        <v>42</v>
      </c>
      <c r="C980" t="s">
        <v>43</v>
      </c>
      <c r="D980" t="s">
        <v>27</v>
      </c>
      <c r="E980" t="s">
        <v>21</v>
      </c>
      <c r="F980" t="s">
        <v>28</v>
      </c>
      <c r="G980">
        <v>25.45</v>
      </c>
      <c r="H980">
        <v>1</v>
      </c>
      <c r="I980">
        <v>1.2725</v>
      </c>
      <c r="J980">
        <v>26.7225</v>
      </c>
      <c r="K980" s="1">
        <v>43534</v>
      </c>
      <c r="L980" s="2">
        <v>0.75694444444444442</v>
      </c>
      <c r="M980" t="s">
        <v>33</v>
      </c>
      <c r="N980">
        <v>25.45</v>
      </c>
      <c r="O980">
        <v>4.7619047620000003</v>
      </c>
      <c r="P980">
        <v>1.2725</v>
      </c>
      <c r="Q980">
        <v>5.0999999999999996</v>
      </c>
    </row>
    <row r="981" spans="1:17" x14ac:dyDescent="0.3">
      <c r="A981" t="s">
        <v>1015</v>
      </c>
      <c r="B981" t="s">
        <v>42</v>
      </c>
      <c r="C981" t="s">
        <v>43</v>
      </c>
      <c r="D981" t="s">
        <v>27</v>
      </c>
      <c r="E981" t="s">
        <v>21</v>
      </c>
      <c r="F981" t="s">
        <v>44</v>
      </c>
      <c r="G981">
        <v>67.77</v>
      </c>
      <c r="H981">
        <v>1</v>
      </c>
      <c r="I981">
        <v>3.3885000000000001</v>
      </c>
      <c r="J981">
        <v>71.158500000000004</v>
      </c>
      <c r="K981" s="1">
        <v>43500</v>
      </c>
      <c r="L981" s="2">
        <v>0.86319444444444449</v>
      </c>
      <c r="M981" t="s">
        <v>33</v>
      </c>
      <c r="N981">
        <v>67.77</v>
      </c>
      <c r="O981">
        <v>4.7619047620000003</v>
      </c>
      <c r="P981">
        <v>3.3885000000000001</v>
      </c>
      <c r="Q981">
        <v>6.5</v>
      </c>
    </row>
    <row r="982" spans="1:17" x14ac:dyDescent="0.3">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3">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3">
      <c r="A985" t="s">
        <v>1019</v>
      </c>
      <c r="B985" t="s">
        <v>25</v>
      </c>
      <c r="C985" t="s">
        <v>26</v>
      </c>
      <c r="D985" t="s">
        <v>27</v>
      </c>
      <c r="E985" t="s">
        <v>31</v>
      </c>
      <c r="F985" t="s">
        <v>22</v>
      </c>
      <c r="G985">
        <v>99.96</v>
      </c>
      <c r="H985">
        <v>7</v>
      </c>
      <c r="I985">
        <v>34.985999999999997</v>
      </c>
      <c r="J985">
        <v>734.70600000000002</v>
      </c>
      <c r="K985" s="1">
        <v>43488</v>
      </c>
      <c r="L985" s="2">
        <v>0.43958333333333333</v>
      </c>
      <c r="M985" t="s">
        <v>29</v>
      </c>
      <c r="N985">
        <v>699.72</v>
      </c>
      <c r="O985">
        <v>4.7619047620000003</v>
      </c>
      <c r="P985">
        <v>34.985999999999997</v>
      </c>
      <c r="Q985">
        <v>6.1</v>
      </c>
    </row>
    <row r="986" spans="1:17" x14ac:dyDescent="0.3">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3">
      <c r="A988" t="s">
        <v>1022</v>
      </c>
      <c r="B988" t="s">
        <v>42</v>
      </c>
      <c r="C988" t="s">
        <v>43</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row>
    <row r="989" spans="1:17" x14ac:dyDescent="0.3">
      <c r="A989" t="s">
        <v>1023</v>
      </c>
      <c r="B989" t="s">
        <v>42</v>
      </c>
      <c r="C989" t="s">
        <v>43</v>
      </c>
      <c r="D989" t="s">
        <v>20</v>
      </c>
      <c r="E989" t="s">
        <v>31</v>
      </c>
      <c r="F989" t="s">
        <v>22</v>
      </c>
      <c r="G989">
        <v>62</v>
      </c>
      <c r="H989">
        <v>8</v>
      </c>
      <c r="I989">
        <v>24.8</v>
      </c>
      <c r="J989">
        <v>520.79999999999995</v>
      </c>
      <c r="K989" s="1">
        <v>43468</v>
      </c>
      <c r="L989" s="2">
        <v>0.79722222222222228</v>
      </c>
      <c r="M989" t="s">
        <v>33</v>
      </c>
      <c r="N989">
        <v>496</v>
      </c>
      <c r="O989">
        <v>4.7619047620000003</v>
      </c>
      <c r="P989">
        <v>24.8</v>
      </c>
      <c r="Q989">
        <v>6.2</v>
      </c>
    </row>
    <row r="990" spans="1:17" x14ac:dyDescent="0.3">
      <c r="A990" t="s">
        <v>1024</v>
      </c>
      <c r="B990" t="s">
        <v>25</v>
      </c>
      <c r="C990" t="s">
        <v>26</v>
      </c>
      <c r="D990" t="s">
        <v>20</v>
      </c>
      <c r="E990" t="s">
        <v>31</v>
      </c>
      <c r="F990" t="s">
        <v>28</v>
      </c>
      <c r="G990">
        <v>82.34</v>
      </c>
      <c r="H990">
        <v>10</v>
      </c>
      <c r="I990">
        <v>41.17</v>
      </c>
      <c r="J990">
        <v>864.57</v>
      </c>
      <c r="K990" s="1">
        <v>43553</v>
      </c>
      <c r="L990" s="2">
        <v>0.8</v>
      </c>
      <c r="M990" t="s">
        <v>23</v>
      </c>
      <c r="N990">
        <v>823.4</v>
      </c>
      <c r="O990">
        <v>4.7619047620000003</v>
      </c>
      <c r="P990">
        <v>41.17</v>
      </c>
      <c r="Q990">
        <v>4.3</v>
      </c>
    </row>
    <row r="991" spans="1:17" x14ac:dyDescent="0.3">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3">
      <c r="A992" t="s">
        <v>1026</v>
      </c>
      <c r="B992" t="s">
        <v>18</v>
      </c>
      <c r="C992" t="s">
        <v>19</v>
      </c>
      <c r="D992" t="s">
        <v>27</v>
      </c>
      <c r="E992" t="s">
        <v>21</v>
      </c>
      <c r="F992" t="s">
        <v>44</v>
      </c>
      <c r="G992">
        <v>56.56</v>
      </c>
      <c r="H992">
        <v>5</v>
      </c>
      <c r="I992">
        <v>14.14</v>
      </c>
      <c r="J992">
        <v>296.94</v>
      </c>
      <c r="K992" s="1">
        <v>43546</v>
      </c>
      <c r="L992" s="2">
        <v>0.79583333333333328</v>
      </c>
      <c r="M992" t="s">
        <v>33</v>
      </c>
      <c r="N992">
        <v>282.8</v>
      </c>
      <c r="O992">
        <v>4.7619047620000003</v>
      </c>
      <c r="P992">
        <v>14.14</v>
      </c>
      <c r="Q992">
        <v>4.5</v>
      </c>
    </row>
    <row r="993" spans="1:17" x14ac:dyDescent="0.3">
      <c r="A993" t="s">
        <v>1027</v>
      </c>
      <c r="B993" t="s">
        <v>42</v>
      </c>
      <c r="C993" t="s">
        <v>43</v>
      </c>
      <c r="D993" t="s">
        <v>27</v>
      </c>
      <c r="E993" t="s">
        <v>21</v>
      </c>
      <c r="F993" t="s">
        <v>36</v>
      </c>
      <c r="G993">
        <v>76.599999999999994</v>
      </c>
      <c r="H993">
        <v>10</v>
      </c>
      <c r="I993">
        <v>38.299999999999997</v>
      </c>
      <c r="J993">
        <v>804.3</v>
      </c>
      <c r="K993" s="1">
        <v>43489</v>
      </c>
      <c r="L993" s="2">
        <v>0.75694444444444442</v>
      </c>
      <c r="M993" t="s">
        <v>23</v>
      </c>
      <c r="N993">
        <v>766</v>
      </c>
      <c r="O993">
        <v>4.7619047620000003</v>
      </c>
      <c r="P993">
        <v>38.299999999999997</v>
      </c>
      <c r="Q993">
        <v>6</v>
      </c>
    </row>
    <row r="994" spans="1:17" x14ac:dyDescent="0.3">
      <c r="A994" t="s">
        <v>1028</v>
      </c>
      <c r="B994" t="s">
        <v>18</v>
      </c>
      <c r="C994" t="s">
        <v>19</v>
      </c>
      <c r="D994" t="s">
        <v>27</v>
      </c>
      <c r="E994" t="s">
        <v>31</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row>
    <row r="995" spans="1:17" x14ac:dyDescent="0.3">
      <c r="A995" t="s">
        <v>1029</v>
      </c>
      <c r="B995" t="s">
        <v>42</v>
      </c>
      <c r="C995" t="s">
        <v>43</v>
      </c>
      <c r="D995" t="s">
        <v>27</v>
      </c>
      <c r="E995" t="s">
        <v>31</v>
      </c>
      <c r="F995" t="s">
        <v>46</v>
      </c>
      <c r="G995">
        <v>17.489999999999998</v>
      </c>
      <c r="H995">
        <v>10</v>
      </c>
      <c r="I995">
        <v>8.7449999999999992</v>
      </c>
      <c r="J995">
        <v>183.64500000000001</v>
      </c>
      <c r="K995" s="1">
        <v>43518</v>
      </c>
      <c r="L995" s="2">
        <v>0.77430555555555558</v>
      </c>
      <c r="M995" t="s">
        <v>23</v>
      </c>
      <c r="N995">
        <v>174.9</v>
      </c>
      <c r="O995">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
      <c r="A997" t="s">
        <v>1031</v>
      </c>
      <c r="B997" t="s">
        <v>25</v>
      </c>
      <c r="C997" t="s">
        <v>26</v>
      </c>
      <c r="D997" t="s">
        <v>27</v>
      </c>
      <c r="E997" t="s">
        <v>31</v>
      </c>
      <c r="F997" t="s">
        <v>22</v>
      </c>
      <c r="G997">
        <v>40.35</v>
      </c>
      <c r="H997">
        <v>1</v>
      </c>
      <c r="I997">
        <v>2.0175000000000001</v>
      </c>
      <c r="J997">
        <v>42.3675</v>
      </c>
      <c r="K997" s="1">
        <v>43494</v>
      </c>
      <c r="L997" s="2">
        <v>0.57361111111111107</v>
      </c>
      <c r="M997" t="s">
        <v>23</v>
      </c>
      <c r="N997">
        <v>40.35</v>
      </c>
      <c r="O997">
        <v>4.7619047620000003</v>
      </c>
      <c r="P997">
        <v>2.0175000000000001</v>
      </c>
      <c r="Q997">
        <v>6.2</v>
      </c>
    </row>
    <row r="998" spans="1:17" x14ac:dyDescent="0.3">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3">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2DFEC-512A-4F5F-9E2B-997BA1F3A1C7}">
  <dimension ref="X18"/>
  <sheetViews>
    <sheetView showGridLines="0" tabSelected="1" zoomScale="83" workbookViewId="0">
      <selection activeCell="AC15" sqref="AC15"/>
    </sheetView>
  </sheetViews>
  <sheetFormatPr defaultRowHeight="14.4" x14ac:dyDescent="0.3"/>
  <sheetData>
    <row r="18" spans="24:24" x14ac:dyDescent="0.3">
      <c r="X18" t="s">
        <v>1047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supermarket_sales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sariga surendran</dc:creator>
  <cp:lastModifiedBy>Sariga Surendran</cp:lastModifiedBy>
  <dcterms:created xsi:type="dcterms:W3CDTF">2025-11-29T11:12:15Z</dcterms:created>
  <dcterms:modified xsi:type="dcterms:W3CDTF">2026-01-02T16:15:05Z</dcterms:modified>
</cp:coreProperties>
</file>